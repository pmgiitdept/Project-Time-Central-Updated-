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2E30CA-87BC-4D8E-8977-E62A1FA2D58B}" xr6:coauthVersionLast="47" xr6:coauthVersionMax="47" xr10:uidLastSave="{00000000-0000-0000-0000-000000000000}"/>
  <bookViews>
    <workbookView xWindow="28680" yWindow="-120" windowWidth="20730" windowHeight="11760" firstSheet="14" activeTab="20" xr2:uid="{CFDF8178-8D4D-4BFD-96D1-67AF57428CAB}"/>
  </bookViews>
  <sheets>
    <sheet name="Baclaran" sheetId="1" r:id="rId1"/>
    <sheet name="Edsa" sheetId="2" r:id="rId2"/>
    <sheet name="Libertad" sheetId="3" r:id="rId3"/>
    <sheet name="Gil puyat" sheetId="4" r:id="rId4"/>
    <sheet name="Vito cruz" sheetId="5" r:id="rId5"/>
    <sheet name="Quirino" sheetId="6" r:id="rId6"/>
    <sheet name="Pedro gil" sheetId="7" r:id="rId7"/>
    <sheet name="Unated Nation" sheetId="8" r:id="rId8"/>
    <sheet name="Central" sheetId="9" r:id="rId9"/>
    <sheet name="Carriedo" sheetId="10" r:id="rId10"/>
    <sheet name="D,jose" sheetId="11" r:id="rId11"/>
    <sheet name="Bambang" sheetId="12" r:id="rId12"/>
    <sheet name="Tayuman" sheetId="13" r:id="rId13"/>
    <sheet name="Blumintritt" sheetId="14" r:id="rId14"/>
    <sheet name="Abad santos" sheetId="15" r:id="rId15"/>
    <sheet name="Rpapa" sheetId="16" r:id="rId16"/>
    <sheet name="5th ave" sheetId="17" r:id="rId17"/>
    <sheet name="Balintawak" sheetId="19" r:id="rId18"/>
    <sheet name="Monumento" sheetId="18" r:id="rId19"/>
    <sheet name="Fpj" sheetId="20" r:id="rId20"/>
    <sheet name="Supervisor" sheetId="21" r:id="rId21"/>
  </sheets>
  <definedNames>
    <definedName name="_xlnm.Print_Area" localSheetId="9">Carriedo!$A$1:$AF$62</definedName>
    <definedName name="_xlnm.Print_Area" localSheetId="3">'Gil puyat'!$A$1:$AF$62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5" i="11" l="1" a="1"/>
  <c r="X25" i="11" s="1"/>
  <c r="Y25" i="11" s="1"/>
  <c r="AB25" i="11"/>
  <c r="AA25" i="11" s="1"/>
  <c r="AD25" i="11"/>
  <c r="AD24" i="11"/>
  <c r="AB24" i="11"/>
  <c r="X24" i="11" a="1"/>
  <c r="X24" i="11" s="1"/>
  <c r="Y24" i="11" s="1"/>
  <c r="B24" i="11"/>
  <c r="Y20" i="6"/>
  <c r="X20" i="6" a="1"/>
  <c r="X20" i="6" s="1"/>
  <c r="Y25" i="6"/>
  <c r="X25" i="6"/>
  <c r="X25" i="6" a="1"/>
  <c r="AD24" i="5"/>
  <c r="AB24" i="5"/>
  <c r="X24" i="5" a="1"/>
  <c r="X24" i="5" s="1"/>
  <c r="Y24" i="5" s="1"/>
  <c r="AA24" i="5" s="1"/>
  <c r="X21" i="3" a="1"/>
  <c r="X21" i="3" s="1"/>
  <c r="Y21" i="3" s="1"/>
  <c r="X22" i="3" a="1"/>
  <c r="X22" i="3"/>
  <c r="Y22" i="3"/>
  <c r="X23" i="3" a="1"/>
  <c r="X23" i="3" s="1"/>
  <c r="Y23" i="3" s="1"/>
  <c r="X24" i="3" a="1"/>
  <c r="X24" i="3" s="1"/>
  <c r="Y24" i="3" s="1"/>
  <c r="X25" i="3" a="1"/>
  <c r="X25" i="3" s="1"/>
  <c r="Y25" i="3" s="1"/>
  <c r="X26" i="3" a="1"/>
  <c r="X26" i="3" s="1"/>
  <c r="Y26" i="3" s="1"/>
  <c r="X27" i="3" a="1"/>
  <c r="X27" i="3" s="1"/>
  <c r="Y27" i="3" s="1"/>
  <c r="X28" i="3" a="1"/>
  <c r="X28" i="3"/>
  <c r="Y28" i="3"/>
  <c r="AB26" i="3"/>
  <c r="AD26" i="3"/>
  <c r="X26" i="1" a="1"/>
  <c r="X26" i="1"/>
  <c r="Y26" i="1"/>
  <c r="AB26" i="1"/>
  <c r="AA26" i="1" s="1"/>
  <c r="AD26" i="1"/>
  <c r="AD25" i="1"/>
  <c r="AB25" i="1"/>
  <c r="AA25" i="1"/>
  <c r="Y25" i="1"/>
  <c r="X25" i="1"/>
  <c r="X25" i="1" a="1"/>
  <c r="X21" i="6" a="1"/>
  <c r="X21" i="6"/>
  <c r="Y21" i="6"/>
  <c r="AB21" i="6"/>
  <c r="AD21" i="6"/>
  <c r="X22" i="5" a="1"/>
  <c r="X22" i="5" s="1"/>
  <c r="Y22" i="5" s="1"/>
  <c r="AB22" i="5"/>
  <c r="AD22" i="5"/>
  <c r="AA24" i="11" l="1"/>
  <c r="AA21" i="6"/>
  <c r="AA26" i="3"/>
  <c r="AA22" i="5"/>
  <c r="X23" i="1" l="1" a="1"/>
  <c r="X23" i="1" s="1"/>
  <c r="Y23" i="1" s="1"/>
  <c r="AB23" i="1"/>
  <c r="AD23" i="1"/>
  <c r="AE47" i="10"/>
  <c r="AC47" i="10"/>
  <c r="Z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AD46" i="10"/>
  <c r="AB46" i="10"/>
  <c r="X46" i="10" a="1"/>
  <c r="X46" i="10" s="1"/>
  <c r="Y46" i="10" s="1"/>
  <c r="B46" i="10"/>
  <c r="AD45" i="10"/>
  <c r="AB45" i="10"/>
  <c r="X45" i="10" a="1"/>
  <c r="X45" i="10" s="1"/>
  <c r="Y45" i="10" s="1"/>
  <c r="AA45" i="10" s="1"/>
  <c r="B45" i="10"/>
  <c r="AD44" i="10"/>
  <c r="AB44" i="10"/>
  <c r="X44" i="10" a="1"/>
  <c r="X44" i="10" s="1"/>
  <c r="Y44" i="10" s="1"/>
  <c r="B44" i="10"/>
  <c r="AD43" i="10"/>
  <c r="AB43" i="10"/>
  <c r="X43" i="10" a="1"/>
  <c r="X43" i="10" s="1"/>
  <c r="Y43" i="10" s="1"/>
  <c r="AA43" i="10" s="1"/>
  <c r="B43" i="10"/>
  <c r="AD42" i="10"/>
  <c r="AB42" i="10"/>
  <c r="X42" i="10" a="1"/>
  <c r="X42" i="10" s="1"/>
  <c r="Y42" i="10" s="1"/>
  <c r="B42" i="10"/>
  <c r="AD41" i="10"/>
  <c r="AB41" i="10"/>
  <c r="X41" i="10" a="1"/>
  <c r="X41" i="10" s="1"/>
  <c r="Y41" i="10" s="1"/>
  <c r="B41" i="10"/>
  <c r="AD40" i="10"/>
  <c r="AB40" i="10"/>
  <c r="X40" i="10" a="1"/>
  <c r="X40" i="10" s="1"/>
  <c r="Y40" i="10" s="1"/>
  <c r="AA40" i="10" s="1"/>
  <c r="B40" i="10"/>
  <c r="AD39" i="10"/>
  <c r="AB39" i="10"/>
  <c r="X39" i="10" a="1"/>
  <c r="X39" i="10" s="1"/>
  <c r="Y39" i="10" s="1"/>
  <c r="B39" i="10"/>
  <c r="AD38" i="10"/>
  <c r="AB38" i="10"/>
  <c r="X38" i="10" a="1"/>
  <c r="X38" i="10" s="1"/>
  <c r="Y38" i="10" s="1"/>
  <c r="B38" i="10"/>
  <c r="AD37" i="10"/>
  <c r="AB37" i="10"/>
  <c r="X37" i="10" a="1"/>
  <c r="X37" i="10" s="1"/>
  <c r="Y37" i="10" s="1"/>
  <c r="B37" i="10"/>
  <c r="AD36" i="10"/>
  <c r="AB36" i="10"/>
  <c r="X36" i="10" a="1"/>
  <c r="X36" i="10" s="1"/>
  <c r="Y36" i="10" s="1"/>
  <c r="B36" i="10"/>
  <c r="AD35" i="10"/>
  <c r="AB35" i="10"/>
  <c r="X35" i="10" a="1"/>
  <c r="X35" i="10" s="1"/>
  <c r="Y35" i="10" s="1"/>
  <c r="B35" i="10"/>
  <c r="AD34" i="10"/>
  <c r="AB34" i="10"/>
  <c r="X34" i="10" a="1"/>
  <c r="X34" i="10" s="1"/>
  <c r="Y34" i="10" s="1"/>
  <c r="B34" i="10"/>
  <c r="AD33" i="10"/>
  <c r="AB33" i="10"/>
  <c r="X33" i="10" a="1"/>
  <c r="X33" i="10" s="1"/>
  <c r="Y33" i="10" s="1"/>
  <c r="AA33" i="10" s="1"/>
  <c r="B33" i="10"/>
  <c r="AD32" i="10"/>
  <c r="AB32" i="10"/>
  <c r="X32" i="10" a="1"/>
  <c r="X32" i="10" s="1"/>
  <c r="Y32" i="10" s="1"/>
  <c r="B32" i="10"/>
  <c r="AD31" i="10"/>
  <c r="AB31" i="10"/>
  <c r="X31" i="10" a="1"/>
  <c r="X31" i="10" s="1"/>
  <c r="Y31" i="10" s="1"/>
  <c r="B31" i="10"/>
  <c r="AD30" i="10"/>
  <c r="AB30" i="10"/>
  <c r="X30" i="10" a="1"/>
  <c r="X30" i="10" s="1"/>
  <c r="Y30" i="10" s="1"/>
  <c r="AA30" i="10" s="1"/>
  <c r="B30" i="10"/>
  <c r="AD29" i="10"/>
  <c r="AB29" i="10"/>
  <c r="X29" i="10" a="1"/>
  <c r="X29" i="10" s="1"/>
  <c r="Y29" i="10" s="1"/>
  <c r="AD28" i="10"/>
  <c r="AB28" i="10"/>
  <c r="X28" i="10" a="1"/>
  <c r="X28" i="10" s="1"/>
  <c r="Y28" i="10" s="1"/>
  <c r="AD27" i="10"/>
  <c r="AB27" i="10"/>
  <c r="X27" i="10" a="1"/>
  <c r="X27" i="10" s="1"/>
  <c r="Y27" i="10" s="1"/>
  <c r="AD26" i="10"/>
  <c r="AB26" i="10"/>
  <c r="X26" i="10" a="1"/>
  <c r="X26" i="10" s="1"/>
  <c r="Y26" i="10" s="1"/>
  <c r="AA26" i="10" s="1"/>
  <c r="AD25" i="10"/>
  <c r="AB25" i="10"/>
  <c r="X25" i="10" a="1"/>
  <c r="X25" i="10" s="1"/>
  <c r="Y25" i="10" s="1"/>
  <c r="AA25" i="10" s="1"/>
  <c r="AD24" i="10"/>
  <c r="AB24" i="10"/>
  <c r="X24" i="10" a="1"/>
  <c r="X24" i="10" s="1"/>
  <c r="Y24" i="10" s="1"/>
  <c r="AD23" i="10"/>
  <c r="AB23" i="10"/>
  <c r="X23" i="10" a="1"/>
  <c r="X23" i="10" s="1"/>
  <c r="Y23" i="10" s="1"/>
  <c r="AA23" i="10" s="1"/>
  <c r="AD22" i="10"/>
  <c r="AB22" i="10"/>
  <c r="X22" i="10" a="1"/>
  <c r="X22" i="10" s="1"/>
  <c r="Y22" i="10" s="1"/>
  <c r="AD21" i="10"/>
  <c r="AB21" i="10"/>
  <c r="X21" i="10" a="1"/>
  <c r="X21" i="10" s="1"/>
  <c r="Y21" i="10" s="1"/>
  <c r="AA21" i="10" s="1"/>
  <c r="AD20" i="10"/>
  <c r="AB20" i="10"/>
  <c r="X20" i="10" a="1"/>
  <c r="X20" i="10" s="1"/>
  <c r="Y20" i="10" s="1"/>
  <c r="AD19" i="10"/>
  <c r="AB19" i="10"/>
  <c r="X19" i="10" a="1"/>
  <c r="X19" i="10" s="1"/>
  <c r="Y19" i="10" s="1"/>
  <c r="AA19" i="10" s="1"/>
  <c r="AD18" i="10"/>
  <c r="AB18" i="10"/>
  <c r="X18" i="10" a="1"/>
  <c r="X18" i="10" s="1"/>
  <c r="Y18" i="10" s="1"/>
  <c r="AA18" i="10" s="1"/>
  <c r="B18" i="10"/>
  <c r="AD17" i="10"/>
  <c r="AB17" i="10"/>
  <c r="X17" i="10" a="1"/>
  <c r="X17" i="10" s="1"/>
  <c r="Y17" i="10" s="1"/>
  <c r="B17" i="10"/>
  <c r="AD16" i="10"/>
  <c r="AB16" i="10"/>
  <c r="X16" i="10" a="1"/>
  <c r="X16" i="10" s="1"/>
  <c r="Y16" i="10" s="1"/>
  <c r="B16" i="10"/>
  <c r="AD15" i="10"/>
  <c r="AB15" i="10"/>
  <c r="X15" i="10" a="1"/>
  <c r="X15" i="10" s="1"/>
  <c r="B15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X23" i="8" a="1"/>
  <c r="X23" i="8" s="1"/>
  <c r="Y23" i="8" s="1"/>
  <c r="AB23" i="8"/>
  <c r="AD23" i="8"/>
  <c r="X24" i="8" a="1"/>
  <c r="X24" i="8" s="1"/>
  <c r="Y24" i="8" s="1"/>
  <c r="AB24" i="8"/>
  <c r="AA24" i="8" s="1"/>
  <c r="AD24" i="8"/>
  <c r="X15" i="5" a="1"/>
  <c r="X15" i="5" s="1"/>
  <c r="Y15" i="5" s="1"/>
  <c r="AA28" i="10" l="1"/>
  <c r="AA22" i="10"/>
  <c r="AA29" i="10"/>
  <c r="AA39" i="10"/>
  <c r="AA23" i="1"/>
  <c r="AA20" i="10"/>
  <c r="AA16" i="10"/>
  <c r="AA17" i="10"/>
  <c r="G47" i="10"/>
  <c r="AA41" i="10"/>
  <c r="AA36" i="10"/>
  <c r="AD47" i="10"/>
  <c r="AB47" i="10"/>
  <c r="AA44" i="10"/>
  <c r="AA32" i="10"/>
  <c r="AA46" i="10"/>
  <c r="AA37" i="10"/>
  <c r="AA42" i="10"/>
  <c r="AA34" i="10"/>
  <c r="X47" i="10"/>
  <c r="Y15" i="10"/>
  <c r="Y47" i="10" s="1"/>
  <c r="AA38" i="10"/>
  <c r="AA24" i="10"/>
  <c r="AA35" i="10"/>
  <c r="AA31" i="10"/>
  <c r="AA27" i="10"/>
  <c r="AA23" i="8"/>
  <c r="AA15" i="10" l="1"/>
  <c r="AA47" i="10" s="1"/>
  <c r="AE47" i="21" l="1"/>
  <c r="AC47" i="21"/>
  <c r="Z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AD46" i="21"/>
  <c r="AB46" i="21"/>
  <c r="X46" i="21" a="1"/>
  <c r="X46" i="21" s="1"/>
  <c r="Y46" i="21" s="1"/>
  <c r="B46" i="21"/>
  <c r="AD45" i="21"/>
  <c r="AB45" i="21"/>
  <c r="X45" i="21" a="1"/>
  <c r="X45" i="21" s="1"/>
  <c r="Y45" i="21" s="1"/>
  <c r="B45" i="21"/>
  <c r="AD44" i="21"/>
  <c r="AB44" i="21"/>
  <c r="X44" i="21" a="1"/>
  <c r="X44" i="21" s="1"/>
  <c r="Y44" i="21" s="1"/>
  <c r="B44" i="21"/>
  <c r="AD43" i="21"/>
  <c r="AB43" i="21"/>
  <c r="X43" i="21" a="1"/>
  <c r="X43" i="21" s="1"/>
  <c r="Y43" i="21" s="1"/>
  <c r="AA43" i="21" s="1"/>
  <c r="B43" i="21"/>
  <c r="AD42" i="21"/>
  <c r="AB42" i="21"/>
  <c r="X42" i="21" a="1"/>
  <c r="X42" i="21" s="1"/>
  <c r="Y42" i="21" s="1"/>
  <c r="AA42" i="21" s="1"/>
  <c r="B42" i="21"/>
  <c r="AD41" i="21"/>
  <c r="AB41" i="21"/>
  <c r="X41" i="21" a="1"/>
  <c r="X41" i="21" s="1"/>
  <c r="Y41" i="21" s="1"/>
  <c r="B41" i="21"/>
  <c r="AD40" i="21"/>
  <c r="AB40" i="21"/>
  <c r="X40" i="21" a="1"/>
  <c r="X40" i="21" s="1"/>
  <c r="Y40" i="21" s="1"/>
  <c r="B40" i="21"/>
  <c r="AD39" i="21"/>
  <c r="AB39" i="21"/>
  <c r="X39" i="21" a="1"/>
  <c r="X39" i="21" s="1"/>
  <c r="Y39" i="21" s="1"/>
  <c r="AA39" i="21" s="1"/>
  <c r="B39" i="21"/>
  <c r="AD38" i="21"/>
  <c r="AB38" i="21"/>
  <c r="X38" i="21" a="1"/>
  <c r="X38" i="21" s="1"/>
  <c r="Y38" i="21" s="1"/>
  <c r="AA38" i="21" s="1"/>
  <c r="B38" i="21"/>
  <c r="AD37" i="21"/>
  <c r="AB37" i="21"/>
  <c r="X37" i="21" a="1"/>
  <c r="X37" i="21" s="1"/>
  <c r="Y37" i="21" s="1"/>
  <c r="AA37" i="21" s="1"/>
  <c r="B37" i="21"/>
  <c r="AD36" i="21"/>
  <c r="AB36" i="21"/>
  <c r="X36" i="21" a="1"/>
  <c r="X36" i="21" s="1"/>
  <c r="Y36" i="21" s="1"/>
  <c r="B36" i="21"/>
  <c r="AD35" i="21"/>
  <c r="AB35" i="21"/>
  <c r="X35" i="21" a="1"/>
  <c r="X35" i="21" s="1"/>
  <c r="Y35" i="21" s="1"/>
  <c r="B35" i="21"/>
  <c r="AD34" i="21"/>
  <c r="AB34" i="21"/>
  <c r="X34" i="21" a="1"/>
  <c r="X34" i="21" s="1"/>
  <c r="Y34" i="21" s="1"/>
  <c r="B34" i="21"/>
  <c r="AD33" i="21"/>
  <c r="AB33" i="21"/>
  <c r="X33" i="21" a="1"/>
  <c r="X33" i="21" s="1"/>
  <c r="Y33" i="21" s="1"/>
  <c r="AA33" i="21" s="1"/>
  <c r="B33" i="21"/>
  <c r="AD32" i="21"/>
  <c r="AB32" i="21"/>
  <c r="X32" i="21" a="1"/>
  <c r="X32" i="21" s="1"/>
  <c r="Y32" i="21" s="1"/>
  <c r="B32" i="21"/>
  <c r="AD31" i="21"/>
  <c r="AB31" i="21"/>
  <c r="X31" i="21" a="1"/>
  <c r="X31" i="21" s="1"/>
  <c r="Y31" i="21" s="1"/>
  <c r="B31" i="21"/>
  <c r="AD30" i="21"/>
  <c r="AB30" i="21"/>
  <c r="X30" i="21" a="1"/>
  <c r="X30" i="21" s="1"/>
  <c r="Y30" i="21" s="1"/>
  <c r="B30" i="21"/>
  <c r="AD29" i="21"/>
  <c r="AB29" i="21"/>
  <c r="X29" i="21" a="1"/>
  <c r="X29" i="21" s="1"/>
  <c r="Y29" i="21" s="1"/>
  <c r="AA29" i="21" s="1"/>
  <c r="B29" i="21"/>
  <c r="AD28" i="21"/>
  <c r="AB28" i="21"/>
  <c r="X28" i="21" a="1"/>
  <c r="X28" i="21" s="1"/>
  <c r="Y28" i="21" s="1"/>
  <c r="B28" i="21"/>
  <c r="AD27" i="21"/>
  <c r="AB27" i="21"/>
  <c r="X27" i="21" a="1"/>
  <c r="X27" i="21" s="1"/>
  <c r="Y27" i="21" s="1"/>
  <c r="B27" i="21"/>
  <c r="AD26" i="21"/>
  <c r="AB26" i="21"/>
  <c r="X26" i="21" a="1"/>
  <c r="X26" i="21" s="1"/>
  <c r="Y26" i="21" s="1"/>
  <c r="B26" i="21"/>
  <c r="AD25" i="21"/>
  <c r="AB25" i="21"/>
  <c r="X25" i="21" a="1"/>
  <c r="X25" i="21" s="1"/>
  <c r="Y25" i="21" s="1"/>
  <c r="B25" i="21"/>
  <c r="AD24" i="21"/>
  <c r="AB24" i="21"/>
  <c r="X24" i="21" a="1"/>
  <c r="X24" i="21" s="1"/>
  <c r="Y24" i="21" s="1"/>
  <c r="B24" i="21"/>
  <c r="AD23" i="21"/>
  <c r="AB23" i="21"/>
  <c r="X23" i="21" a="1"/>
  <c r="X23" i="21" s="1"/>
  <c r="Y23" i="21" s="1"/>
  <c r="AA23" i="21" s="1"/>
  <c r="B23" i="21"/>
  <c r="AD22" i="21"/>
  <c r="AB22" i="21"/>
  <c r="X22" i="21" a="1"/>
  <c r="X22" i="21" s="1"/>
  <c r="Y22" i="21" s="1"/>
  <c r="AA22" i="21" s="1"/>
  <c r="B22" i="21"/>
  <c r="AD21" i="21"/>
  <c r="AB21" i="21"/>
  <c r="X21" i="21" a="1"/>
  <c r="X21" i="21" s="1"/>
  <c r="Y21" i="21" s="1"/>
  <c r="B21" i="21"/>
  <c r="AD20" i="21"/>
  <c r="AB20" i="21"/>
  <c r="X20" i="21" a="1"/>
  <c r="X20" i="21" s="1"/>
  <c r="Y20" i="21" s="1"/>
  <c r="AA20" i="21" s="1"/>
  <c r="B20" i="21"/>
  <c r="AD19" i="21"/>
  <c r="AB19" i="21"/>
  <c r="X19" i="21" a="1"/>
  <c r="X19" i="21" s="1"/>
  <c r="Y19" i="21" s="1"/>
  <c r="B19" i="21"/>
  <c r="AD18" i="21"/>
  <c r="AB18" i="21"/>
  <c r="X18" i="21" a="1"/>
  <c r="X18" i="21" s="1"/>
  <c r="Y18" i="21" s="1"/>
  <c r="B18" i="21"/>
  <c r="AD17" i="21"/>
  <c r="AB17" i="21"/>
  <c r="X17" i="21" a="1"/>
  <c r="X17" i="21" s="1"/>
  <c r="Y17" i="21" s="1"/>
  <c r="AA17" i="21" s="1"/>
  <c r="B17" i="21"/>
  <c r="AD16" i="21"/>
  <c r="AB16" i="21"/>
  <c r="X16" i="21" a="1"/>
  <c r="X16" i="21" s="1"/>
  <c r="Y16" i="21" s="1"/>
  <c r="B16" i="21"/>
  <c r="AD15" i="21"/>
  <c r="AB15" i="21"/>
  <c r="X15" i="21" a="1"/>
  <c r="X15" i="21" s="1"/>
  <c r="B15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AE47" i="20"/>
  <c r="AC47" i="20"/>
  <c r="Z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D46" i="20"/>
  <c r="AB46" i="20"/>
  <c r="X46" i="20" a="1"/>
  <c r="X46" i="20" s="1"/>
  <c r="Y46" i="20" s="1"/>
  <c r="AA46" i="20" s="1"/>
  <c r="B46" i="20"/>
  <c r="AD45" i="20"/>
  <c r="AB45" i="20"/>
  <c r="X45" i="20" a="1"/>
  <c r="X45" i="20" s="1"/>
  <c r="Y45" i="20" s="1"/>
  <c r="AA45" i="20" s="1"/>
  <c r="B45" i="20"/>
  <c r="AD44" i="20"/>
  <c r="AB44" i="20"/>
  <c r="X44" i="20" a="1"/>
  <c r="X44" i="20" s="1"/>
  <c r="Y44" i="20" s="1"/>
  <c r="B44" i="20"/>
  <c r="AD43" i="20"/>
  <c r="AB43" i="20"/>
  <c r="X43" i="20" a="1"/>
  <c r="X43" i="20" s="1"/>
  <c r="Y43" i="20" s="1"/>
  <c r="B43" i="20"/>
  <c r="AD42" i="20"/>
  <c r="AB42" i="20"/>
  <c r="X42" i="20" a="1"/>
  <c r="X42" i="20" s="1"/>
  <c r="Y42" i="20" s="1"/>
  <c r="AA42" i="20" s="1"/>
  <c r="B42" i="20"/>
  <c r="AD41" i="20"/>
  <c r="AB41" i="20"/>
  <c r="X41" i="20" a="1"/>
  <c r="X41" i="20" s="1"/>
  <c r="Y41" i="20" s="1"/>
  <c r="B41" i="20"/>
  <c r="AD40" i="20"/>
  <c r="AB40" i="20"/>
  <c r="X40" i="20" a="1"/>
  <c r="X40" i="20" s="1"/>
  <c r="Y40" i="20" s="1"/>
  <c r="AA40" i="20" s="1"/>
  <c r="B40" i="20"/>
  <c r="AD39" i="20"/>
  <c r="AB39" i="20"/>
  <c r="X39" i="20" a="1"/>
  <c r="X39" i="20" s="1"/>
  <c r="Y39" i="20" s="1"/>
  <c r="AA39" i="20" s="1"/>
  <c r="B39" i="20"/>
  <c r="AD38" i="20"/>
  <c r="AB38" i="20"/>
  <c r="X38" i="20" a="1"/>
  <c r="X38" i="20" s="1"/>
  <c r="Y38" i="20" s="1"/>
  <c r="B38" i="20"/>
  <c r="AD37" i="20"/>
  <c r="AB37" i="20"/>
  <c r="X37" i="20" a="1"/>
  <c r="X37" i="20" s="1"/>
  <c r="Y37" i="20" s="1"/>
  <c r="AA37" i="20" s="1"/>
  <c r="B37" i="20"/>
  <c r="AD36" i="20"/>
  <c r="AB36" i="20"/>
  <c r="X36" i="20" a="1"/>
  <c r="X36" i="20" s="1"/>
  <c r="Y36" i="20" s="1"/>
  <c r="AA36" i="20" s="1"/>
  <c r="B36" i="20"/>
  <c r="AD35" i="20"/>
  <c r="AB35" i="20"/>
  <c r="X35" i="20" a="1"/>
  <c r="X35" i="20" s="1"/>
  <c r="Y35" i="20" s="1"/>
  <c r="AA35" i="20" s="1"/>
  <c r="B35" i="20"/>
  <c r="AD34" i="20"/>
  <c r="AB34" i="20"/>
  <c r="X34" i="20" a="1"/>
  <c r="X34" i="20" s="1"/>
  <c r="Y34" i="20" s="1"/>
  <c r="AA34" i="20" s="1"/>
  <c r="B34" i="20"/>
  <c r="AD33" i="20"/>
  <c r="AB33" i="20"/>
  <c r="X33" i="20" a="1"/>
  <c r="X33" i="20" s="1"/>
  <c r="Y33" i="20" s="1"/>
  <c r="B33" i="20"/>
  <c r="AD32" i="20"/>
  <c r="AB32" i="20"/>
  <c r="X32" i="20" a="1"/>
  <c r="X32" i="20" s="1"/>
  <c r="Y32" i="20" s="1"/>
  <c r="AA32" i="20" s="1"/>
  <c r="B32" i="20"/>
  <c r="AD31" i="20"/>
  <c r="AB31" i="20"/>
  <c r="X31" i="20" a="1"/>
  <c r="X31" i="20" s="1"/>
  <c r="Y31" i="20" s="1"/>
  <c r="AA31" i="20" s="1"/>
  <c r="B31" i="20"/>
  <c r="AD30" i="20"/>
  <c r="AB30" i="20"/>
  <c r="X30" i="20" a="1"/>
  <c r="X30" i="20" s="1"/>
  <c r="Y30" i="20" s="1"/>
  <c r="AA30" i="20" s="1"/>
  <c r="B30" i="20"/>
  <c r="AD29" i="20"/>
  <c r="AB29" i="20"/>
  <c r="X29" i="20" a="1"/>
  <c r="X29" i="20" s="1"/>
  <c r="Y29" i="20" s="1"/>
  <c r="AA29" i="20" s="1"/>
  <c r="B29" i="20"/>
  <c r="AD28" i="20"/>
  <c r="AB28" i="20"/>
  <c r="X28" i="20" a="1"/>
  <c r="X28" i="20" s="1"/>
  <c r="Y28" i="20" s="1"/>
  <c r="B28" i="20"/>
  <c r="AD27" i="20"/>
  <c r="AB27" i="20"/>
  <c r="X27" i="20" a="1"/>
  <c r="X27" i="20" s="1"/>
  <c r="Y27" i="20" s="1"/>
  <c r="B27" i="20"/>
  <c r="AD26" i="20"/>
  <c r="AB26" i="20"/>
  <c r="X26" i="20" a="1"/>
  <c r="X26" i="20" s="1"/>
  <c r="Y26" i="20" s="1"/>
  <c r="B26" i="20"/>
  <c r="AD25" i="20"/>
  <c r="AB25" i="20"/>
  <c r="X25" i="20" a="1"/>
  <c r="X25" i="20" s="1"/>
  <c r="Y25" i="20" s="1"/>
  <c r="AA25" i="20" s="1"/>
  <c r="B25" i="20"/>
  <c r="AD24" i="20"/>
  <c r="AB24" i="20"/>
  <c r="X24" i="20" a="1"/>
  <c r="X24" i="20" s="1"/>
  <c r="Y24" i="20" s="1"/>
  <c r="B24" i="20"/>
  <c r="AD23" i="20"/>
  <c r="AB23" i="20"/>
  <c r="X23" i="20" a="1"/>
  <c r="X23" i="20" s="1"/>
  <c r="Y23" i="20" s="1"/>
  <c r="B23" i="20"/>
  <c r="AD22" i="20"/>
  <c r="AB22" i="20"/>
  <c r="X22" i="20" a="1"/>
  <c r="X22" i="20" s="1"/>
  <c r="Y22" i="20" s="1"/>
  <c r="B22" i="20"/>
  <c r="AD21" i="20"/>
  <c r="AB21" i="20"/>
  <c r="X21" i="20" a="1"/>
  <c r="X21" i="20" s="1"/>
  <c r="Y21" i="20" s="1"/>
  <c r="B21" i="20"/>
  <c r="AD20" i="20"/>
  <c r="AB20" i="20"/>
  <c r="X20" i="20" a="1"/>
  <c r="X20" i="20" s="1"/>
  <c r="Y20" i="20" s="1"/>
  <c r="AA20" i="20" s="1"/>
  <c r="B20" i="20"/>
  <c r="AD19" i="20"/>
  <c r="AB19" i="20"/>
  <c r="X19" i="20" a="1"/>
  <c r="X19" i="20" s="1"/>
  <c r="Y19" i="20" s="1"/>
  <c r="AA19" i="20" s="1"/>
  <c r="B19" i="20"/>
  <c r="AD18" i="20"/>
  <c r="AB18" i="20"/>
  <c r="X18" i="20" a="1"/>
  <c r="X18" i="20" s="1"/>
  <c r="Y18" i="20" s="1"/>
  <c r="B18" i="20"/>
  <c r="AD17" i="20"/>
  <c r="AB17" i="20"/>
  <c r="X17" i="20" a="1"/>
  <c r="X17" i="20" s="1"/>
  <c r="Y17" i="20" s="1"/>
  <c r="B17" i="20"/>
  <c r="AD16" i="20"/>
  <c r="AB16" i="20"/>
  <c r="X16" i="20" a="1"/>
  <c r="X16" i="20" s="1"/>
  <c r="Y16" i="20" s="1"/>
  <c r="AA16" i="20" s="1"/>
  <c r="B16" i="20"/>
  <c r="AD15" i="20"/>
  <c r="AB15" i="20"/>
  <c r="X15" i="20" a="1"/>
  <c r="X15" i="20" s="1"/>
  <c r="B15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AE47" i="19"/>
  <c r="AC47" i="19"/>
  <c r="Z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AD46" i="19"/>
  <c r="AB46" i="19"/>
  <c r="X46" i="19" a="1"/>
  <c r="X46" i="19" s="1"/>
  <c r="Y46" i="19" s="1"/>
  <c r="AA46" i="19" s="1"/>
  <c r="B46" i="19"/>
  <c r="AD45" i="19"/>
  <c r="AB45" i="19"/>
  <c r="X45" i="19" a="1"/>
  <c r="X45" i="19" s="1"/>
  <c r="Y45" i="19" s="1"/>
  <c r="AA45" i="19" s="1"/>
  <c r="B45" i="19"/>
  <c r="AD44" i="19"/>
  <c r="AB44" i="19"/>
  <c r="X44" i="19" a="1"/>
  <c r="X44" i="19" s="1"/>
  <c r="Y44" i="19" s="1"/>
  <c r="B44" i="19"/>
  <c r="AD43" i="19"/>
  <c r="AB43" i="19"/>
  <c r="X43" i="19" a="1"/>
  <c r="X43" i="19" s="1"/>
  <c r="Y43" i="19" s="1"/>
  <c r="AA43" i="19" s="1"/>
  <c r="B43" i="19"/>
  <c r="AD42" i="19"/>
  <c r="AB42" i="19"/>
  <c r="X42" i="19" a="1"/>
  <c r="X42" i="19" s="1"/>
  <c r="Y42" i="19" s="1"/>
  <c r="AA42" i="19" s="1"/>
  <c r="B42" i="19"/>
  <c r="AD41" i="19"/>
  <c r="AB41" i="19"/>
  <c r="X41" i="19" a="1"/>
  <c r="X41" i="19" s="1"/>
  <c r="Y41" i="19" s="1"/>
  <c r="B41" i="19"/>
  <c r="AD40" i="19"/>
  <c r="AB40" i="19"/>
  <c r="X40" i="19" a="1"/>
  <c r="X40" i="19" s="1"/>
  <c r="Y40" i="19" s="1"/>
  <c r="AA40" i="19" s="1"/>
  <c r="B40" i="19"/>
  <c r="AD39" i="19"/>
  <c r="AB39" i="19"/>
  <c r="X39" i="19" a="1"/>
  <c r="X39" i="19" s="1"/>
  <c r="Y39" i="19" s="1"/>
  <c r="B39" i="19"/>
  <c r="AD38" i="19"/>
  <c r="AB38" i="19"/>
  <c r="X38" i="19" a="1"/>
  <c r="X38" i="19" s="1"/>
  <c r="Y38" i="19" s="1"/>
  <c r="B38" i="19"/>
  <c r="AD37" i="19"/>
  <c r="AB37" i="19"/>
  <c r="X37" i="19" a="1"/>
  <c r="X37" i="19" s="1"/>
  <c r="Y37" i="19" s="1"/>
  <c r="AA37" i="19" s="1"/>
  <c r="B37" i="19"/>
  <c r="AD36" i="19"/>
  <c r="AB36" i="19"/>
  <c r="X36" i="19" a="1"/>
  <c r="X36" i="19" s="1"/>
  <c r="Y36" i="19" s="1"/>
  <c r="AA36" i="19" s="1"/>
  <c r="B36" i="19"/>
  <c r="AD35" i="19"/>
  <c r="AB35" i="19"/>
  <c r="X35" i="19" a="1"/>
  <c r="X35" i="19" s="1"/>
  <c r="Y35" i="19" s="1"/>
  <c r="AA35" i="19" s="1"/>
  <c r="B35" i="19"/>
  <c r="AD34" i="19"/>
  <c r="AB34" i="19"/>
  <c r="X34" i="19" a="1"/>
  <c r="X34" i="19" s="1"/>
  <c r="Y34" i="19" s="1"/>
  <c r="B34" i="19"/>
  <c r="AD33" i="19"/>
  <c r="AB33" i="19"/>
  <c r="X33" i="19" a="1"/>
  <c r="X33" i="19" s="1"/>
  <c r="Y33" i="19" s="1"/>
  <c r="AA33" i="19" s="1"/>
  <c r="B33" i="19"/>
  <c r="AD32" i="19"/>
  <c r="AB32" i="19"/>
  <c r="X32" i="19" a="1"/>
  <c r="X32" i="19" s="1"/>
  <c r="Y32" i="19" s="1"/>
  <c r="AA32" i="19" s="1"/>
  <c r="B32" i="19"/>
  <c r="AD31" i="19"/>
  <c r="AB31" i="19"/>
  <c r="X31" i="19" a="1"/>
  <c r="X31" i="19" s="1"/>
  <c r="Y31" i="19" s="1"/>
  <c r="AA31" i="19" s="1"/>
  <c r="B31" i="19"/>
  <c r="AD30" i="19"/>
  <c r="AB30" i="19"/>
  <c r="X30" i="19" a="1"/>
  <c r="X30" i="19" s="1"/>
  <c r="Y30" i="19" s="1"/>
  <c r="B30" i="19"/>
  <c r="AD29" i="19"/>
  <c r="AB29" i="19"/>
  <c r="X29" i="19" a="1"/>
  <c r="X29" i="19" s="1"/>
  <c r="Y29" i="19" s="1"/>
  <c r="B29" i="19"/>
  <c r="AD28" i="19"/>
  <c r="AB28" i="19"/>
  <c r="X28" i="19" a="1"/>
  <c r="X28" i="19" s="1"/>
  <c r="Y28" i="19" s="1"/>
  <c r="AA28" i="19" s="1"/>
  <c r="B28" i="19"/>
  <c r="AD27" i="19"/>
  <c r="AB27" i="19"/>
  <c r="X27" i="19" a="1"/>
  <c r="X27" i="19" s="1"/>
  <c r="Y27" i="19" s="1"/>
  <c r="B27" i="19"/>
  <c r="AD26" i="19"/>
  <c r="AB26" i="19"/>
  <c r="X26" i="19" a="1"/>
  <c r="X26" i="19" s="1"/>
  <c r="Y26" i="19" s="1"/>
  <c r="B26" i="19"/>
  <c r="AD25" i="19"/>
  <c r="AB25" i="19"/>
  <c r="X25" i="19" a="1"/>
  <c r="X25" i="19" s="1"/>
  <c r="Y25" i="19" s="1"/>
  <c r="AA25" i="19" s="1"/>
  <c r="B25" i="19"/>
  <c r="AD24" i="19"/>
  <c r="AB24" i="19"/>
  <c r="X24" i="19" a="1"/>
  <c r="X24" i="19" s="1"/>
  <c r="Y24" i="19" s="1"/>
  <c r="B24" i="19"/>
  <c r="AD23" i="19"/>
  <c r="AB23" i="19"/>
  <c r="X23" i="19" a="1"/>
  <c r="X23" i="19" s="1"/>
  <c r="Y23" i="19" s="1"/>
  <c r="AA23" i="19" s="1"/>
  <c r="B23" i="19"/>
  <c r="AD22" i="19"/>
  <c r="AB22" i="19"/>
  <c r="X22" i="19" a="1"/>
  <c r="X22" i="19" s="1"/>
  <c r="Y22" i="19" s="1"/>
  <c r="AA22" i="19" s="1"/>
  <c r="B22" i="19"/>
  <c r="AD21" i="19"/>
  <c r="AB21" i="19"/>
  <c r="X21" i="19" a="1"/>
  <c r="X21" i="19" s="1"/>
  <c r="Y21" i="19" s="1"/>
  <c r="B21" i="19"/>
  <c r="AD20" i="19"/>
  <c r="AB20" i="19"/>
  <c r="X20" i="19" a="1"/>
  <c r="X20" i="19" s="1"/>
  <c r="Y20" i="19" s="1"/>
  <c r="AA20" i="19" s="1"/>
  <c r="B20" i="19"/>
  <c r="AD19" i="19"/>
  <c r="AB19" i="19"/>
  <c r="X19" i="19" a="1"/>
  <c r="X19" i="19" s="1"/>
  <c r="Y19" i="19" s="1"/>
  <c r="AA19" i="19" s="1"/>
  <c r="B19" i="19"/>
  <c r="AD18" i="19"/>
  <c r="AB18" i="19"/>
  <c r="X18" i="19" a="1"/>
  <c r="X18" i="19" s="1"/>
  <c r="Y18" i="19" s="1"/>
  <c r="B18" i="19"/>
  <c r="AD17" i="19"/>
  <c r="AB17" i="19"/>
  <c r="X17" i="19" a="1"/>
  <c r="X17" i="19" s="1"/>
  <c r="Y17" i="19" s="1"/>
  <c r="AA17" i="19" s="1"/>
  <c r="B17" i="19"/>
  <c r="AD16" i="19"/>
  <c r="AB16" i="19"/>
  <c r="X16" i="19" a="1"/>
  <c r="X16" i="19" s="1"/>
  <c r="Y16" i="19" s="1"/>
  <c r="B16" i="19"/>
  <c r="AD15" i="19"/>
  <c r="AB15" i="19"/>
  <c r="X15" i="19" a="1"/>
  <c r="X15" i="19" s="1"/>
  <c r="B15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AE47" i="18"/>
  <c r="AC47" i="18"/>
  <c r="Z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AD46" i="18"/>
  <c r="AB46" i="18"/>
  <c r="X46" i="18" a="1"/>
  <c r="X46" i="18" s="1"/>
  <c r="Y46" i="18" s="1"/>
  <c r="AA46" i="18" s="1"/>
  <c r="B46" i="18"/>
  <c r="AD45" i="18"/>
  <c r="AB45" i="18"/>
  <c r="X45" i="18" a="1"/>
  <c r="X45" i="18" s="1"/>
  <c r="Y45" i="18" s="1"/>
  <c r="AA45" i="18" s="1"/>
  <c r="B45" i="18"/>
  <c r="AD44" i="18"/>
  <c r="AB44" i="18"/>
  <c r="X44" i="18" a="1"/>
  <c r="X44" i="18" s="1"/>
  <c r="Y44" i="18" s="1"/>
  <c r="B44" i="18"/>
  <c r="AD43" i="18"/>
  <c r="AB43" i="18"/>
  <c r="X43" i="18" a="1"/>
  <c r="X43" i="18" s="1"/>
  <c r="Y43" i="18" s="1"/>
  <c r="AA43" i="18" s="1"/>
  <c r="B43" i="18"/>
  <c r="AD42" i="18"/>
  <c r="AB42" i="18"/>
  <c r="X42" i="18" a="1"/>
  <c r="X42" i="18" s="1"/>
  <c r="Y42" i="18" s="1"/>
  <c r="AA42" i="18" s="1"/>
  <c r="B42" i="18"/>
  <c r="AD41" i="18"/>
  <c r="AB41" i="18"/>
  <c r="X41" i="18" a="1"/>
  <c r="X41" i="18" s="1"/>
  <c r="Y41" i="18" s="1"/>
  <c r="B41" i="18"/>
  <c r="AD40" i="18"/>
  <c r="AB40" i="18"/>
  <c r="X40" i="18" a="1"/>
  <c r="X40" i="18" s="1"/>
  <c r="Y40" i="18" s="1"/>
  <c r="AA40" i="18" s="1"/>
  <c r="B40" i="18"/>
  <c r="AD39" i="18"/>
  <c r="AB39" i="18"/>
  <c r="X39" i="18" a="1"/>
  <c r="X39" i="18" s="1"/>
  <c r="Y39" i="18" s="1"/>
  <c r="AA39" i="18" s="1"/>
  <c r="B39" i="18"/>
  <c r="AD38" i="18"/>
  <c r="AB38" i="18"/>
  <c r="X38" i="18" a="1"/>
  <c r="X38" i="18" s="1"/>
  <c r="Y38" i="18" s="1"/>
  <c r="B38" i="18"/>
  <c r="AD37" i="18"/>
  <c r="AB37" i="18"/>
  <c r="X37" i="18" a="1"/>
  <c r="X37" i="18" s="1"/>
  <c r="Y37" i="18" s="1"/>
  <c r="AA37" i="18" s="1"/>
  <c r="B37" i="18"/>
  <c r="AD36" i="18"/>
  <c r="AB36" i="18"/>
  <c r="X36" i="18" a="1"/>
  <c r="X36" i="18" s="1"/>
  <c r="Y36" i="18" s="1"/>
  <c r="AA36" i="18" s="1"/>
  <c r="B36" i="18"/>
  <c r="AD35" i="18"/>
  <c r="AB35" i="18"/>
  <c r="X35" i="18" a="1"/>
  <c r="X35" i="18" s="1"/>
  <c r="Y35" i="18" s="1"/>
  <c r="AA35" i="18" s="1"/>
  <c r="B35" i="18"/>
  <c r="AD34" i="18"/>
  <c r="AB34" i="18"/>
  <c r="X34" i="18" a="1"/>
  <c r="X34" i="18" s="1"/>
  <c r="Y34" i="18" s="1"/>
  <c r="AA34" i="18" s="1"/>
  <c r="B34" i="18"/>
  <c r="AD33" i="18"/>
  <c r="AB33" i="18"/>
  <c r="X33" i="18" a="1"/>
  <c r="X33" i="18" s="1"/>
  <c r="Y33" i="18" s="1"/>
  <c r="AA33" i="18" s="1"/>
  <c r="B33" i="18"/>
  <c r="AD32" i="18"/>
  <c r="AB32" i="18"/>
  <c r="X32" i="18" a="1"/>
  <c r="X32" i="18" s="1"/>
  <c r="Y32" i="18" s="1"/>
  <c r="B32" i="18"/>
  <c r="AD31" i="18"/>
  <c r="AB31" i="18"/>
  <c r="X31" i="18" a="1"/>
  <c r="X31" i="18" s="1"/>
  <c r="Y31" i="18" s="1"/>
  <c r="B31" i="18"/>
  <c r="AD30" i="18"/>
  <c r="AB30" i="18"/>
  <c r="X30" i="18" a="1"/>
  <c r="X30" i="18" s="1"/>
  <c r="Y30" i="18" s="1"/>
  <c r="AA30" i="18" s="1"/>
  <c r="B30" i="18"/>
  <c r="AD29" i="18"/>
  <c r="AB29" i="18"/>
  <c r="X29" i="18" a="1"/>
  <c r="X29" i="18" s="1"/>
  <c r="Y29" i="18" s="1"/>
  <c r="AA29" i="18" s="1"/>
  <c r="B29" i="18"/>
  <c r="AD28" i="18"/>
  <c r="AB28" i="18"/>
  <c r="X28" i="18" a="1"/>
  <c r="X28" i="18" s="1"/>
  <c r="Y28" i="18" s="1"/>
  <c r="B28" i="18"/>
  <c r="AD27" i="18"/>
  <c r="AB27" i="18"/>
  <c r="X27" i="18" a="1"/>
  <c r="X27" i="18" s="1"/>
  <c r="Y27" i="18" s="1"/>
  <c r="B27" i="18"/>
  <c r="AD26" i="18"/>
  <c r="AB26" i="18"/>
  <c r="X26" i="18" a="1"/>
  <c r="X26" i="18" s="1"/>
  <c r="Y26" i="18" s="1"/>
  <c r="AA26" i="18" s="1"/>
  <c r="B26" i="18"/>
  <c r="AD25" i="18"/>
  <c r="AB25" i="18"/>
  <c r="X25" i="18" a="1"/>
  <c r="X25" i="18" s="1"/>
  <c r="Y25" i="18" s="1"/>
  <c r="AA25" i="18" s="1"/>
  <c r="B25" i="18"/>
  <c r="AD24" i="18"/>
  <c r="AB24" i="18"/>
  <c r="X24" i="18" a="1"/>
  <c r="X24" i="18" s="1"/>
  <c r="Y24" i="18" s="1"/>
  <c r="B24" i="18"/>
  <c r="AD23" i="18"/>
  <c r="AB23" i="18"/>
  <c r="X23" i="18" a="1"/>
  <c r="X23" i="18" s="1"/>
  <c r="Y23" i="18" s="1"/>
  <c r="AA23" i="18" s="1"/>
  <c r="B23" i="18"/>
  <c r="AD22" i="18"/>
  <c r="AB22" i="18"/>
  <c r="X22" i="18" a="1"/>
  <c r="X22" i="18" s="1"/>
  <c r="Y22" i="18" s="1"/>
  <c r="AA22" i="18" s="1"/>
  <c r="B22" i="18"/>
  <c r="AD21" i="18"/>
  <c r="AB21" i="18"/>
  <c r="X21" i="18" a="1"/>
  <c r="X21" i="18" s="1"/>
  <c r="Y21" i="18" s="1"/>
  <c r="B21" i="18"/>
  <c r="AD20" i="18"/>
  <c r="AB20" i="18"/>
  <c r="X20" i="18" a="1"/>
  <c r="X20" i="18" s="1"/>
  <c r="Y20" i="18" s="1"/>
  <c r="AA20" i="18" s="1"/>
  <c r="B20" i="18"/>
  <c r="AD19" i="18"/>
  <c r="AB19" i="18"/>
  <c r="X19" i="18" a="1"/>
  <c r="X19" i="18" s="1"/>
  <c r="Y19" i="18" s="1"/>
  <c r="AA19" i="18" s="1"/>
  <c r="B19" i="18"/>
  <c r="AD18" i="18"/>
  <c r="AB18" i="18"/>
  <c r="X18" i="18" a="1"/>
  <c r="X18" i="18" s="1"/>
  <c r="Y18" i="18" s="1"/>
  <c r="B18" i="18"/>
  <c r="AD17" i="18"/>
  <c r="AB17" i="18"/>
  <c r="X17" i="18" a="1"/>
  <c r="X17" i="18" s="1"/>
  <c r="Y17" i="18" s="1"/>
  <c r="AA17" i="18" s="1"/>
  <c r="B17" i="18"/>
  <c r="AD16" i="18"/>
  <c r="AB16" i="18"/>
  <c r="X16" i="18" a="1"/>
  <c r="X16" i="18" s="1"/>
  <c r="Y16" i="18" s="1"/>
  <c r="AA16" i="18" s="1"/>
  <c r="B16" i="18"/>
  <c r="AD15" i="18"/>
  <c r="AB15" i="18"/>
  <c r="X15" i="18" a="1"/>
  <c r="X15" i="18" s="1"/>
  <c r="B15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AE47" i="17"/>
  <c r="AC47" i="17"/>
  <c r="Z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AD46" i="17"/>
  <c r="AB46" i="17"/>
  <c r="X46" i="17" a="1"/>
  <c r="X46" i="17" s="1"/>
  <c r="Y46" i="17" s="1"/>
  <c r="AA46" i="17" s="1"/>
  <c r="B46" i="17"/>
  <c r="AD45" i="17"/>
  <c r="AB45" i="17"/>
  <c r="X45" i="17" a="1"/>
  <c r="X45" i="17" s="1"/>
  <c r="Y45" i="17" s="1"/>
  <c r="AA45" i="17" s="1"/>
  <c r="B45" i="17"/>
  <c r="AD44" i="17"/>
  <c r="AB44" i="17"/>
  <c r="X44" i="17" a="1"/>
  <c r="X44" i="17" s="1"/>
  <c r="Y44" i="17" s="1"/>
  <c r="B44" i="17"/>
  <c r="AD43" i="17"/>
  <c r="AB43" i="17"/>
  <c r="X43" i="17" a="1"/>
  <c r="X43" i="17" s="1"/>
  <c r="Y43" i="17" s="1"/>
  <c r="B43" i="17"/>
  <c r="AD42" i="17"/>
  <c r="AB42" i="17"/>
  <c r="X42" i="17" a="1"/>
  <c r="X42" i="17" s="1"/>
  <c r="Y42" i="17" s="1"/>
  <c r="AA42" i="17" s="1"/>
  <c r="B42" i="17"/>
  <c r="AD41" i="17"/>
  <c r="AB41" i="17"/>
  <c r="X41" i="17" a="1"/>
  <c r="X41" i="17" s="1"/>
  <c r="Y41" i="17" s="1"/>
  <c r="AA41" i="17" s="1"/>
  <c r="B41" i="17"/>
  <c r="AD40" i="17"/>
  <c r="AB40" i="17"/>
  <c r="X40" i="17" a="1"/>
  <c r="X40" i="17" s="1"/>
  <c r="Y40" i="17" s="1"/>
  <c r="AA40" i="17" s="1"/>
  <c r="B40" i="17"/>
  <c r="AD39" i="17"/>
  <c r="AB39" i="17"/>
  <c r="X39" i="17" a="1"/>
  <c r="X39" i="17" s="1"/>
  <c r="Y39" i="17" s="1"/>
  <c r="AA39" i="17" s="1"/>
  <c r="B39" i="17"/>
  <c r="AD38" i="17"/>
  <c r="AB38" i="17"/>
  <c r="X38" i="17" a="1"/>
  <c r="X38" i="17" s="1"/>
  <c r="Y38" i="17" s="1"/>
  <c r="B38" i="17"/>
  <c r="AD37" i="17"/>
  <c r="AB37" i="17"/>
  <c r="X37" i="17" a="1"/>
  <c r="X37" i="17" s="1"/>
  <c r="Y37" i="17" s="1"/>
  <c r="AA37" i="17" s="1"/>
  <c r="B37" i="17"/>
  <c r="AD36" i="17"/>
  <c r="AB36" i="17"/>
  <c r="X36" i="17" a="1"/>
  <c r="X36" i="17" s="1"/>
  <c r="Y36" i="17" s="1"/>
  <c r="AA36" i="17" s="1"/>
  <c r="B36" i="17"/>
  <c r="AD35" i="17"/>
  <c r="AB35" i="17"/>
  <c r="X35" i="17" a="1"/>
  <c r="X35" i="17" s="1"/>
  <c r="Y35" i="17" s="1"/>
  <c r="B35" i="17"/>
  <c r="AD34" i="17"/>
  <c r="AB34" i="17"/>
  <c r="X34" i="17" a="1"/>
  <c r="X34" i="17" s="1"/>
  <c r="Y34" i="17" s="1"/>
  <c r="AA34" i="17" s="1"/>
  <c r="B34" i="17"/>
  <c r="AD33" i="17"/>
  <c r="AB33" i="17"/>
  <c r="X33" i="17" a="1"/>
  <c r="X33" i="17" s="1"/>
  <c r="Y33" i="17" s="1"/>
  <c r="AA33" i="17" s="1"/>
  <c r="B33" i="17"/>
  <c r="AD32" i="17"/>
  <c r="AB32" i="17"/>
  <c r="X32" i="17" a="1"/>
  <c r="X32" i="17" s="1"/>
  <c r="Y32" i="17" s="1"/>
  <c r="AA32" i="17" s="1"/>
  <c r="B32" i="17"/>
  <c r="AD31" i="17"/>
  <c r="AB31" i="17"/>
  <c r="X31" i="17" a="1"/>
  <c r="X31" i="17" s="1"/>
  <c r="Y31" i="17" s="1"/>
  <c r="B31" i="17"/>
  <c r="AD30" i="17"/>
  <c r="AB30" i="17"/>
  <c r="X30" i="17" a="1"/>
  <c r="X30" i="17" s="1"/>
  <c r="Y30" i="17" s="1"/>
  <c r="AA30" i="17" s="1"/>
  <c r="B30" i="17"/>
  <c r="AD29" i="17"/>
  <c r="AB29" i="17"/>
  <c r="X29" i="17" a="1"/>
  <c r="X29" i="17" s="1"/>
  <c r="Y29" i="17" s="1"/>
  <c r="AA29" i="17" s="1"/>
  <c r="B29" i="17"/>
  <c r="AD28" i="17"/>
  <c r="AB28" i="17"/>
  <c r="X28" i="17" a="1"/>
  <c r="X28" i="17" s="1"/>
  <c r="Y28" i="17" s="1"/>
  <c r="AA28" i="17" s="1"/>
  <c r="B28" i="17"/>
  <c r="AD27" i="17"/>
  <c r="AB27" i="17"/>
  <c r="X27" i="17" a="1"/>
  <c r="X27" i="17" s="1"/>
  <c r="Y27" i="17" s="1"/>
  <c r="B27" i="17"/>
  <c r="AD26" i="17"/>
  <c r="AB26" i="17"/>
  <c r="X26" i="17" a="1"/>
  <c r="X26" i="17" s="1"/>
  <c r="Y26" i="17" s="1"/>
  <c r="AA26" i="17" s="1"/>
  <c r="B26" i="17"/>
  <c r="AD25" i="17"/>
  <c r="AB25" i="17"/>
  <c r="X25" i="17" a="1"/>
  <c r="X25" i="17" s="1"/>
  <c r="Y25" i="17" s="1"/>
  <c r="B25" i="17"/>
  <c r="AD24" i="17"/>
  <c r="AB24" i="17"/>
  <c r="X24" i="17" a="1"/>
  <c r="X24" i="17" s="1"/>
  <c r="Y24" i="17" s="1"/>
  <c r="B24" i="17"/>
  <c r="AD23" i="17"/>
  <c r="AB23" i="17"/>
  <c r="X23" i="17" a="1"/>
  <c r="X23" i="17" s="1"/>
  <c r="Y23" i="17" s="1"/>
  <c r="B23" i="17"/>
  <c r="AD22" i="17"/>
  <c r="AB22" i="17"/>
  <c r="X22" i="17" a="1"/>
  <c r="X22" i="17" s="1"/>
  <c r="Y22" i="17" s="1"/>
  <c r="AA22" i="17" s="1"/>
  <c r="B22" i="17"/>
  <c r="AD21" i="17"/>
  <c r="AB21" i="17"/>
  <c r="X21" i="17" a="1"/>
  <c r="X21" i="17" s="1"/>
  <c r="Y21" i="17" s="1"/>
  <c r="AA21" i="17" s="1"/>
  <c r="B21" i="17"/>
  <c r="AD20" i="17"/>
  <c r="AB20" i="17"/>
  <c r="X20" i="17" a="1"/>
  <c r="X20" i="17" s="1"/>
  <c r="Y20" i="17" s="1"/>
  <c r="AA20" i="17" s="1"/>
  <c r="B20" i="17"/>
  <c r="AD19" i="17"/>
  <c r="AB19" i="17"/>
  <c r="X19" i="17" a="1"/>
  <c r="X19" i="17" s="1"/>
  <c r="Y19" i="17" s="1"/>
  <c r="B19" i="17"/>
  <c r="AD18" i="17"/>
  <c r="AB18" i="17"/>
  <c r="X18" i="17" a="1"/>
  <c r="X18" i="17" s="1"/>
  <c r="Y18" i="17" s="1"/>
  <c r="B18" i="17"/>
  <c r="AD17" i="17"/>
  <c r="AB17" i="17"/>
  <c r="X17" i="17" a="1"/>
  <c r="X17" i="17" s="1"/>
  <c r="Y17" i="17" s="1"/>
  <c r="AA17" i="17" s="1"/>
  <c r="B17" i="17"/>
  <c r="AD16" i="17"/>
  <c r="AB16" i="17"/>
  <c r="X16" i="17" a="1"/>
  <c r="X16" i="17" s="1"/>
  <c r="Y16" i="17" s="1"/>
  <c r="B16" i="17"/>
  <c r="AD15" i="17"/>
  <c r="AB15" i="17"/>
  <c r="X15" i="17" a="1"/>
  <c r="X15" i="17" s="1"/>
  <c r="B15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AE47" i="16"/>
  <c r="AC47" i="16"/>
  <c r="Z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AD46" i="16"/>
  <c r="AB46" i="16"/>
  <c r="X46" i="16" a="1"/>
  <c r="X46" i="16" s="1"/>
  <c r="Y46" i="16" s="1"/>
  <c r="B46" i="16"/>
  <c r="AD45" i="16"/>
  <c r="AB45" i="16"/>
  <c r="X45" i="16" a="1"/>
  <c r="X45" i="16" s="1"/>
  <c r="Y45" i="16" s="1"/>
  <c r="AA45" i="16" s="1"/>
  <c r="B45" i="16"/>
  <c r="AD44" i="16"/>
  <c r="AB44" i="16"/>
  <c r="X44" i="16" a="1"/>
  <c r="X44" i="16" s="1"/>
  <c r="Y44" i="16" s="1"/>
  <c r="B44" i="16"/>
  <c r="AD43" i="16"/>
  <c r="AB43" i="16"/>
  <c r="X43" i="16" a="1"/>
  <c r="X43" i="16" s="1"/>
  <c r="Y43" i="16" s="1"/>
  <c r="B43" i="16"/>
  <c r="AD42" i="16"/>
  <c r="AB42" i="16"/>
  <c r="X42" i="16" a="1"/>
  <c r="X42" i="16" s="1"/>
  <c r="Y42" i="16" s="1"/>
  <c r="AA42" i="16" s="1"/>
  <c r="B42" i="16"/>
  <c r="AD41" i="16"/>
  <c r="AB41" i="16"/>
  <c r="X41" i="16" a="1"/>
  <c r="X41" i="16" s="1"/>
  <c r="Y41" i="16" s="1"/>
  <c r="B41" i="16"/>
  <c r="AD40" i="16"/>
  <c r="AB40" i="16"/>
  <c r="X40" i="16" a="1"/>
  <c r="X40" i="16" s="1"/>
  <c r="Y40" i="16" s="1"/>
  <c r="B40" i="16"/>
  <c r="AD39" i="16"/>
  <c r="AB39" i="16"/>
  <c r="X39" i="16" a="1"/>
  <c r="X39" i="16" s="1"/>
  <c r="Y39" i="16" s="1"/>
  <c r="B39" i="16"/>
  <c r="AD38" i="16"/>
  <c r="AB38" i="16"/>
  <c r="X38" i="16" a="1"/>
  <c r="X38" i="16" s="1"/>
  <c r="Y38" i="16" s="1"/>
  <c r="B38" i="16"/>
  <c r="AD37" i="16"/>
  <c r="AB37" i="16"/>
  <c r="X37" i="16" a="1"/>
  <c r="X37" i="16" s="1"/>
  <c r="Y37" i="16" s="1"/>
  <c r="AA37" i="16" s="1"/>
  <c r="B37" i="16"/>
  <c r="AD36" i="16"/>
  <c r="AB36" i="16"/>
  <c r="X36" i="16" a="1"/>
  <c r="X36" i="16" s="1"/>
  <c r="Y36" i="16" s="1"/>
  <c r="B36" i="16"/>
  <c r="AD35" i="16"/>
  <c r="AB35" i="16"/>
  <c r="X35" i="16" a="1"/>
  <c r="X35" i="16" s="1"/>
  <c r="Y35" i="16" s="1"/>
  <c r="AA35" i="16" s="1"/>
  <c r="B35" i="16"/>
  <c r="AD34" i="16"/>
  <c r="AB34" i="16"/>
  <c r="X34" i="16" a="1"/>
  <c r="X34" i="16" s="1"/>
  <c r="Y34" i="16" s="1"/>
  <c r="B34" i="16"/>
  <c r="AD33" i="16"/>
  <c r="AB33" i="16"/>
  <c r="X33" i="16" a="1"/>
  <c r="X33" i="16" s="1"/>
  <c r="Y33" i="16" s="1"/>
  <c r="AA33" i="16" s="1"/>
  <c r="B33" i="16"/>
  <c r="AD32" i="16"/>
  <c r="AB32" i="16"/>
  <c r="X32" i="16" a="1"/>
  <c r="X32" i="16" s="1"/>
  <c r="Y32" i="16" s="1"/>
  <c r="AA32" i="16" s="1"/>
  <c r="B32" i="16"/>
  <c r="AD31" i="16"/>
  <c r="AB31" i="16"/>
  <c r="X31" i="16" a="1"/>
  <c r="X31" i="16" s="1"/>
  <c r="Y31" i="16" s="1"/>
  <c r="AA31" i="16" s="1"/>
  <c r="B31" i="16"/>
  <c r="AD30" i="16"/>
  <c r="AB30" i="16"/>
  <c r="X30" i="16" a="1"/>
  <c r="X30" i="16" s="1"/>
  <c r="Y30" i="16" s="1"/>
  <c r="B30" i="16"/>
  <c r="AD29" i="16"/>
  <c r="AB29" i="16"/>
  <c r="X29" i="16" a="1"/>
  <c r="X29" i="16" s="1"/>
  <c r="Y29" i="16" s="1"/>
  <c r="B29" i="16"/>
  <c r="AD28" i="16"/>
  <c r="AB28" i="16"/>
  <c r="X28" i="16" a="1"/>
  <c r="X28" i="16" s="1"/>
  <c r="Y28" i="16" s="1"/>
  <c r="AA28" i="16" s="1"/>
  <c r="B28" i="16"/>
  <c r="AD27" i="16"/>
  <c r="AB27" i="16"/>
  <c r="X27" i="16" a="1"/>
  <c r="X27" i="16" s="1"/>
  <c r="Y27" i="16" s="1"/>
  <c r="B27" i="16"/>
  <c r="AD26" i="16"/>
  <c r="AB26" i="16"/>
  <c r="X26" i="16" a="1"/>
  <c r="X26" i="16" s="1"/>
  <c r="Y26" i="16" s="1"/>
  <c r="B26" i="16"/>
  <c r="AD25" i="16"/>
  <c r="AB25" i="16"/>
  <c r="X25" i="16" a="1"/>
  <c r="X25" i="16" s="1"/>
  <c r="Y25" i="16" s="1"/>
  <c r="AA25" i="16" s="1"/>
  <c r="B25" i="16"/>
  <c r="AD24" i="16"/>
  <c r="AB24" i="16"/>
  <c r="X24" i="16" a="1"/>
  <c r="X24" i="16" s="1"/>
  <c r="Y24" i="16" s="1"/>
  <c r="B24" i="16"/>
  <c r="AD23" i="16"/>
  <c r="AB23" i="16"/>
  <c r="X23" i="16" a="1"/>
  <c r="X23" i="16" s="1"/>
  <c r="Y23" i="16" s="1"/>
  <c r="B23" i="16"/>
  <c r="AD22" i="16"/>
  <c r="AB22" i="16"/>
  <c r="X22" i="16" a="1"/>
  <c r="X22" i="16" s="1"/>
  <c r="Y22" i="16" s="1"/>
  <c r="B22" i="16"/>
  <c r="AD21" i="16"/>
  <c r="AB21" i="16"/>
  <c r="X21" i="16" a="1"/>
  <c r="X21" i="16" s="1"/>
  <c r="Y21" i="16" s="1"/>
  <c r="B21" i="16"/>
  <c r="AD20" i="16"/>
  <c r="AB20" i="16"/>
  <c r="X20" i="16" a="1"/>
  <c r="X20" i="16" s="1"/>
  <c r="Y20" i="16" s="1"/>
  <c r="B20" i="16"/>
  <c r="AD19" i="16"/>
  <c r="AB19" i="16"/>
  <c r="X19" i="16" a="1"/>
  <c r="X19" i="16" s="1"/>
  <c r="Y19" i="16" s="1"/>
  <c r="B19" i="16"/>
  <c r="AD18" i="16"/>
  <c r="AB18" i="16"/>
  <c r="X18" i="16" a="1"/>
  <c r="X18" i="16" s="1"/>
  <c r="Y18" i="16" s="1"/>
  <c r="B18" i="16"/>
  <c r="AD17" i="16"/>
  <c r="AB17" i="16"/>
  <c r="X17" i="16" a="1"/>
  <c r="X17" i="16" s="1"/>
  <c r="Y17" i="16" s="1"/>
  <c r="B17" i="16"/>
  <c r="AD16" i="16"/>
  <c r="AB16" i="16"/>
  <c r="X16" i="16" a="1"/>
  <c r="X16" i="16" s="1"/>
  <c r="Y16" i="16" s="1"/>
  <c r="B16" i="16"/>
  <c r="AD15" i="16"/>
  <c r="AB15" i="16"/>
  <c r="X15" i="16" a="1"/>
  <c r="X15" i="16" s="1"/>
  <c r="B15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AE47" i="15"/>
  <c r="AC47" i="15"/>
  <c r="Z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AD46" i="15"/>
  <c r="AB46" i="15"/>
  <c r="X46" i="15" a="1"/>
  <c r="X46" i="15" s="1"/>
  <c r="Y46" i="15" s="1"/>
  <c r="B46" i="15"/>
  <c r="AD45" i="15"/>
  <c r="AB45" i="15"/>
  <c r="X45" i="15" a="1"/>
  <c r="X45" i="15" s="1"/>
  <c r="Y45" i="15" s="1"/>
  <c r="B45" i="15"/>
  <c r="AD44" i="15"/>
  <c r="AB44" i="15"/>
  <c r="X44" i="15" a="1"/>
  <c r="X44" i="15" s="1"/>
  <c r="Y44" i="15" s="1"/>
  <c r="B44" i="15"/>
  <c r="AD43" i="15"/>
  <c r="AB43" i="15"/>
  <c r="X43" i="15" a="1"/>
  <c r="X43" i="15" s="1"/>
  <c r="Y43" i="15" s="1"/>
  <c r="AA43" i="15" s="1"/>
  <c r="B43" i="15"/>
  <c r="AD42" i="15"/>
  <c r="AB42" i="15"/>
  <c r="X42" i="15" a="1"/>
  <c r="X42" i="15" s="1"/>
  <c r="Y42" i="15" s="1"/>
  <c r="AA42" i="15" s="1"/>
  <c r="B42" i="15"/>
  <c r="AD41" i="15"/>
  <c r="AB41" i="15"/>
  <c r="X41" i="15" a="1"/>
  <c r="X41" i="15" s="1"/>
  <c r="Y41" i="15" s="1"/>
  <c r="B41" i="15"/>
  <c r="AD40" i="15"/>
  <c r="AB40" i="15"/>
  <c r="X40" i="15" a="1"/>
  <c r="X40" i="15" s="1"/>
  <c r="Y40" i="15" s="1"/>
  <c r="B40" i="15"/>
  <c r="AD39" i="15"/>
  <c r="AB39" i="15"/>
  <c r="X39" i="15" a="1"/>
  <c r="X39" i="15" s="1"/>
  <c r="Y39" i="15" s="1"/>
  <c r="AA39" i="15" s="1"/>
  <c r="B39" i="15"/>
  <c r="AD38" i="15"/>
  <c r="AB38" i="15"/>
  <c r="X38" i="15" a="1"/>
  <c r="X38" i="15" s="1"/>
  <c r="Y38" i="15" s="1"/>
  <c r="AA38" i="15" s="1"/>
  <c r="B38" i="15"/>
  <c r="AD37" i="15"/>
  <c r="AB37" i="15"/>
  <c r="X37" i="15" a="1"/>
  <c r="X37" i="15" s="1"/>
  <c r="Y37" i="15" s="1"/>
  <c r="AA37" i="15" s="1"/>
  <c r="B37" i="15"/>
  <c r="AD36" i="15"/>
  <c r="AB36" i="15"/>
  <c r="X36" i="15" a="1"/>
  <c r="X36" i="15" s="1"/>
  <c r="Y36" i="15" s="1"/>
  <c r="B36" i="15"/>
  <c r="AD35" i="15"/>
  <c r="AB35" i="15"/>
  <c r="X35" i="15" a="1"/>
  <c r="X35" i="15" s="1"/>
  <c r="Y35" i="15" s="1"/>
  <c r="B35" i="15"/>
  <c r="AD34" i="15"/>
  <c r="AB34" i="15"/>
  <c r="X34" i="15" a="1"/>
  <c r="X34" i="15" s="1"/>
  <c r="Y34" i="15" s="1"/>
  <c r="AA34" i="15" s="1"/>
  <c r="B34" i="15"/>
  <c r="AD33" i="15"/>
  <c r="AB33" i="15"/>
  <c r="X33" i="15" a="1"/>
  <c r="X33" i="15" s="1"/>
  <c r="Y33" i="15" s="1"/>
  <c r="AA33" i="15" s="1"/>
  <c r="B33" i="15"/>
  <c r="AD32" i="15"/>
  <c r="AB32" i="15"/>
  <c r="X32" i="15" a="1"/>
  <c r="X32" i="15" s="1"/>
  <c r="Y32" i="15" s="1"/>
  <c r="AA32" i="15" s="1"/>
  <c r="B32" i="15"/>
  <c r="AD31" i="15"/>
  <c r="AB31" i="15"/>
  <c r="X31" i="15" a="1"/>
  <c r="X31" i="15" s="1"/>
  <c r="Y31" i="15" s="1"/>
  <c r="B31" i="15"/>
  <c r="AD30" i="15"/>
  <c r="AB30" i="15"/>
  <c r="X30" i="15" a="1"/>
  <c r="X30" i="15" s="1"/>
  <c r="Y30" i="15" s="1"/>
  <c r="B30" i="15"/>
  <c r="AD29" i="15"/>
  <c r="AB29" i="15"/>
  <c r="X29" i="15" a="1"/>
  <c r="X29" i="15" s="1"/>
  <c r="Y29" i="15" s="1"/>
  <c r="AA29" i="15" s="1"/>
  <c r="B29" i="15"/>
  <c r="AD28" i="15"/>
  <c r="AB28" i="15"/>
  <c r="X28" i="15" a="1"/>
  <c r="X28" i="15" s="1"/>
  <c r="Y28" i="15" s="1"/>
  <c r="AA28" i="15" s="1"/>
  <c r="B28" i="15"/>
  <c r="AD27" i="15"/>
  <c r="AB27" i="15"/>
  <c r="X27" i="15" a="1"/>
  <c r="X27" i="15" s="1"/>
  <c r="Y27" i="15" s="1"/>
  <c r="B27" i="15"/>
  <c r="AD26" i="15"/>
  <c r="AB26" i="15"/>
  <c r="X26" i="15" a="1"/>
  <c r="X26" i="15" s="1"/>
  <c r="Y26" i="15" s="1"/>
  <c r="B26" i="15"/>
  <c r="AD25" i="15"/>
  <c r="AB25" i="15"/>
  <c r="X25" i="15" a="1"/>
  <c r="X25" i="15" s="1"/>
  <c r="Y25" i="15" s="1"/>
  <c r="B25" i="15"/>
  <c r="AD24" i="15"/>
  <c r="AB24" i="15"/>
  <c r="X24" i="15" a="1"/>
  <c r="X24" i="15" s="1"/>
  <c r="Y24" i="15" s="1"/>
  <c r="B24" i="15"/>
  <c r="AD23" i="15"/>
  <c r="AB23" i="15"/>
  <c r="X23" i="15" a="1"/>
  <c r="X23" i="15" s="1"/>
  <c r="Y23" i="15" s="1"/>
  <c r="AA23" i="15" s="1"/>
  <c r="B23" i="15"/>
  <c r="AD22" i="15"/>
  <c r="AB22" i="15"/>
  <c r="X22" i="15" a="1"/>
  <c r="X22" i="15" s="1"/>
  <c r="Y22" i="15" s="1"/>
  <c r="AA22" i="15" s="1"/>
  <c r="B22" i="15"/>
  <c r="AD21" i="15"/>
  <c r="AB21" i="15"/>
  <c r="X21" i="15" a="1"/>
  <c r="X21" i="15" s="1"/>
  <c r="Y21" i="15" s="1"/>
  <c r="B21" i="15"/>
  <c r="AD20" i="15"/>
  <c r="AB20" i="15"/>
  <c r="X20" i="15" a="1"/>
  <c r="X20" i="15" s="1"/>
  <c r="Y20" i="15" s="1"/>
  <c r="AA20" i="15" s="1"/>
  <c r="B20" i="15"/>
  <c r="AD19" i="15"/>
  <c r="AB19" i="15"/>
  <c r="X19" i="15" a="1"/>
  <c r="X19" i="15" s="1"/>
  <c r="Y19" i="15" s="1"/>
  <c r="AA19" i="15" s="1"/>
  <c r="B19" i="15"/>
  <c r="AD18" i="15"/>
  <c r="AB18" i="15"/>
  <c r="X18" i="15" a="1"/>
  <c r="X18" i="15" s="1"/>
  <c r="Y18" i="15" s="1"/>
  <c r="AA18" i="15" s="1"/>
  <c r="B18" i="15"/>
  <c r="AD17" i="15"/>
  <c r="AB17" i="15"/>
  <c r="X17" i="15" a="1"/>
  <c r="X17" i="15" s="1"/>
  <c r="Y17" i="15" s="1"/>
  <c r="AA17" i="15" s="1"/>
  <c r="B17" i="15"/>
  <c r="AD16" i="15"/>
  <c r="AB16" i="15"/>
  <c r="X16" i="15" a="1"/>
  <c r="X16" i="15" s="1"/>
  <c r="Y16" i="15" s="1"/>
  <c r="B16" i="15"/>
  <c r="AD15" i="15"/>
  <c r="AB15" i="15"/>
  <c r="X15" i="15" a="1"/>
  <c r="X15" i="15" s="1"/>
  <c r="B15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E47" i="14"/>
  <c r="AC47" i="14"/>
  <c r="Z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AD46" i="14"/>
  <c r="AB46" i="14"/>
  <c r="X46" i="14" a="1"/>
  <c r="X46" i="14" s="1"/>
  <c r="Y46" i="14" s="1"/>
  <c r="AA46" i="14" s="1"/>
  <c r="B46" i="14"/>
  <c r="AD45" i="14"/>
  <c r="AB45" i="14"/>
  <c r="X45" i="14" a="1"/>
  <c r="X45" i="14" s="1"/>
  <c r="Y45" i="14" s="1"/>
  <c r="AA45" i="14" s="1"/>
  <c r="B45" i="14"/>
  <c r="AD44" i="14"/>
  <c r="AB44" i="14"/>
  <c r="X44" i="14" a="1"/>
  <c r="X44" i="14" s="1"/>
  <c r="Y44" i="14" s="1"/>
  <c r="B44" i="14"/>
  <c r="AD43" i="14"/>
  <c r="AB43" i="14"/>
  <c r="X43" i="14" a="1"/>
  <c r="X43" i="14" s="1"/>
  <c r="Y43" i="14" s="1"/>
  <c r="AA43" i="14" s="1"/>
  <c r="B43" i="14"/>
  <c r="AD42" i="14"/>
  <c r="AB42" i="14"/>
  <c r="X42" i="14" a="1"/>
  <c r="X42" i="14" s="1"/>
  <c r="Y42" i="14" s="1"/>
  <c r="AA42" i="14" s="1"/>
  <c r="B42" i="14"/>
  <c r="AD41" i="14"/>
  <c r="AB41" i="14"/>
  <c r="X41" i="14" a="1"/>
  <c r="X41" i="14" s="1"/>
  <c r="Y41" i="14" s="1"/>
  <c r="AA41" i="14" s="1"/>
  <c r="B41" i="14"/>
  <c r="AD40" i="14"/>
  <c r="AB40" i="14"/>
  <c r="X40" i="14" a="1"/>
  <c r="X40" i="14" s="1"/>
  <c r="Y40" i="14" s="1"/>
  <c r="AA40" i="14" s="1"/>
  <c r="B40" i="14"/>
  <c r="AD39" i="14"/>
  <c r="AB39" i="14"/>
  <c r="X39" i="14" a="1"/>
  <c r="X39" i="14" s="1"/>
  <c r="Y39" i="14" s="1"/>
  <c r="AA39" i="14" s="1"/>
  <c r="B39" i="14"/>
  <c r="AD38" i="14"/>
  <c r="AB38" i="14"/>
  <c r="X38" i="14" a="1"/>
  <c r="X38" i="14" s="1"/>
  <c r="Y38" i="14" s="1"/>
  <c r="B38" i="14"/>
  <c r="AD37" i="14"/>
  <c r="AB37" i="14"/>
  <c r="X37" i="14" a="1"/>
  <c r="X37" i="14" s="1"/>
  <c r="Y37" i="14" s="1"/>
  <c r="AA37" i="14" s="1"/>
  <c r="B37" i="14"/>
  <c r="AD36" i="14"/>
  <c r="AB36" i="14"/>
  <c r="X36" i="14" a="1"/>
  <c r="X36" i="14" s="1"/>
  <c r="Y36" i="14" s="1"/>
  <c r="AA36" i="14" s="1"/>
  <c r="B36" i="14"/>
  <c r="AD35" i="14"/>
  <c r="AB35" i="14"/>
  <c r="X35" i="14" a="1"/>
  <c r="X35" i="14" s="1"/>
  <c r="Y35" i="14" s="1"/>
  <c r="AA35" i="14" s="1"/>
  <c r="B35" i="14"/>
  <c r="AD34" i="14"/>
  <c r="AB34" i="14"/>
  <c r="X34" i="14" a="1"/>
  <c r="X34" i="14" s="1"/>
  <c r="Y34" i="14" s="1"/>
  <c r="AA34" i="14" s="1"/>
  <c r="B34" i="14"/>
  <c r="AD33" i="14"/>
  <c r="AB33" i="14"/>
  <c r="X33" i="14" a="1"/>
  <c r="X33" i="14" s="1"/>
  <c r="Y33" i="14" s="1"/>
  <c r="AA33" i="14" s="1"/>
  <c r="B33" i="14"/>
  <c r="AD32" i="14"/>
  <c r="AB32" i="14"/>
  <c r="X32" i="14" a="1"/>
  <c r="X32" i="14" s="1"/>
  <c r="Y32" i="14" s="1"/>
  <c r="B32" i="14"/>
  <c r="AD31" i="14"/>
  <c r="AB31" i="14"/>
  <c r="X31" i="14" a="1"/>
  <c r="X31" i="14" s="1"/>
  <c r="Y31" i="14" s="1"/>
  <c r="AA31" i="14" s="1"/>
  <c r="B31" i="14"/>
  <c r="AD30" i="14"/>
  <c r="AB30" i="14"/>
  <c r="X30" i="14" a="1"/>
  <c r="X30" i="14" s="1"/>
  <c r="Y30" i="14" s="1"/>
  <c r="AA30" i="14" s="1"/>
  <c r="B30" i="14"/>
  <c r="AD29" i="14"/>
  <c r="AB29" i="14"/>
  <c r="X29" i="14" a="1"/>
  <c r="X29" i="14" s="1"/>
  <c r="Y29" i="14" s="1"/>
  <c r="AA29" i="14" s="1"/>
  <c r="B29" i="14"/>
  <c r="AD28" i="14"/>
  <c r="AB28" i="14"/>
  <c r="X28" i="14" a="1"/>
  <c r="X28" i="14" s="1"/>
  <c r="Y28" i="14" s="1"/>
  <c r="AA28" i="14" s="1"/>
  <c r="B28" i="14"/>
  <c r="AD27" i="14"/>
  <c r="AB27" i="14"/>
  <c r="X27" i="14" a="1"/>
  <c r="X27" i="14" s="1"/>
  <c r="Y27" i="14" s="1"/>
  <c r="B27" i="14"/>
  <c r="AD26" i="14"/>
  <c r="AB26" i="14"/>
  <c r="X26" i="14" a="1"/>
  <c r="X26" i="14" s="1"/>
  <c r="Y26" i="14" s="1"/>
  <c r="AA26" i="14" s="1"/>
  <c r="B26" i="14"/>
  <c r="AD25" i="14"/>
  <c r="AB25" i="14"/>
  <c r="X25" i="14" a="1"/>
  <c r="X25" i="14" s="1"/>
  <c r="Y25" i="14" s="1"/>
  <c r="AA25" i="14" s="1"/>
  <c r="B25" i="14"/>
  <c r="AD24" i="14"/>
  <c r="AB24" i="14"/>
  <c r="X24" i="14" a="1"/>
  <c r="X24" i="14" s="1"/>
  <c r="Y24" i="14" s="1"/>
  <c r="B24" i="14"/>
  <c r="AD23" i="14"/>
  <c r="AB23" i="14"/>
  <c r="X23" i="14" a="1"/>
  <c r="X23" i="14" s="1"/>
  <c r="Y23" i="14" s="1"/>
  <c r="AA23" i="14" s="1"/>
  <c r="B23" i="14"/>
  <c r="AD22" i="14"/>
  <c r="AB22" i="14"/>
  <c r="X22" i="14" a="1"/>
  <c r="X22" i="14" s="1"/>
  <c r="Y22" i="14" s="1"/>
  <c r="B22" i="14"/>
  <c r="AD21" i="14"/>
  <c r="AB21" i="14"/>
  <c r="X21" i="14" a="1"/>
  <c r="X21" i="14" s="1"/>
  <c r="Y21" i="14" s="1"/>
  <c r="B21" i="14"/>
  <c r="AD20" i="14"/>
  <c r="AB20" i="14"/>
  <c r="X20" i="14" a="1"/>
  <c r="X20" i="14" s="1"/>
  <c r="Y20" i="14" s="1"/>
  <c r="AA20" i="14" s="1"/>
  <c r="B20" i="14"/>
  <c r="AD19" i="14"/>
  <c r="AB19" i="14"/>
  <c r="X19" i="14" a="1"/>
  <c r="X19" i="14" s="1"/>
  <c r="Y19" i="14" s="1"/>
  <c r="AA19" i="14" s="1"/>
  <c r="B19" i="14"/>
  <c r="AD18" i="14"/>
  <c r="AB18" i="14"/>
  <c r="X18" i="14" a="1"/>
  <c r="X18" i="14" s="1"/>
  <c r="Y18" i="14" s="1"/>
  <c r="AA18" i="14" s="1"/>
  <c r="B18" i="14"/>
  <c r="AD17" i="14"/>
  <c r="AB17" i="14"/>
  <c r="X17" i="14" a="1"/>
  <c r="X17" i="14" s="1"/>
  <c r="Y17" i="14" s="1"/>
  <c r="B17" i="14"/>
  <c r="AD16" i="14"/>
  <c r="AB16" i="14"/>
  <c r="X16" i="14" a="1"/>
  <c r="X16" i="14" s="1"/>
  <c r="Y16" i="14" s="1"/>
  <c r="B16" i="14"/>
  <c r="AD15" i="14"/>
  <c r="AB15" i="14"/>
  <c r="X15" i="14" a="1"/>
  <c r="X15" i="14" s="1"/>
  <c r="B15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AE47" i="13"/>
  <c r="AC47" i="13"/>
  <c r="Z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AD46" i="13"/>
  <c r="AB46" i="13"/>
  <c r="X46" i="13" a="1"/>
  <c r="X46" i="13" s="1"/>
  <c r="Y46" i="13" s="1"/>
  <c r="AA46" i="13" s="1"/>
  <c r="B46" i="13"/>
  <c r="AD45" i="13"/>
  <c r="AB45" i="13"/>
  <c r="X45" i="13" a="1"/>
  <c r="X45" i="13" s="1"/>
  <c r="Y45" i="13" s="1"/>
  <c r="AA45" i="13" s="1"/>
  <c r="B45" i="13"/>
  <c r="AD44" i="13"/>
  <c r="AB44" i="13"/>
  <c r="X44" i="13" a="1"/>
  <c r="X44" i="13" s="1"/>
  <c r="Y44" i="13" s="1"/>
  <c r="B44" i="13"/>
  <c r="AD43" i="13"/>
  <c r="AB43" i="13"/>
  <c r="X43" i="13" a="1"/>
  <c r="X43" i="13" s="1"/>
  <c r="Y43" i="13" s="1"/>
  <c r="AA43" i="13" s="1"/>
  <c r="B43" i="13"/>
  <c r="AD42" i="13"/>
  <c r="AB42" i="13"/>
  <c r="X42" i="13" a="1"/>
  <c r="X42" i="13" s="1"/>
  <c r="Y42" i="13" s="1"/>
  <c r="B42" i="13"/>
  <c r="AD41" i="13"/>
  <c r="AB41" i="13"/>
  <c r="X41" i="13" a="1"/>
  <c r="X41" i="13" s="1"/>
  <c r="Y41" i="13" s="1"/>
  <c r="AA41" i="13" s="1"/>
  <c r="B41" i="13"/>
  <c r="AD40" i="13"/>
  <c r="AB40" i="13"/>
  <c r="X40" i="13" a="1"/>
  <c r="X40" i="13" s="1"/>
  <c r="Y40" i="13" s="1"/>
  <c r="AA40" i="13" s="1"/>
  <c r="B40" i="13"/>
  <c r="AD39" i="13"/>
  <c r="AB39" i="13"/>
  <c r="X39" i="13" a="1"/>
  <c r="X39" i="13" s="1"/>
  <c r="Y39" i="13" s="1"/>
  <c r="AA39" i="13" s="1"/>
  <c r="B39" i="13"/>
  <c r="AD38" i="13"/>
  <c r="AB38" i="13"/>
  <c r="X38" i="13" a="1"/>
  <c r="X38" i="13" s="1"/>
  <c r="Y38" i="13" s="1"/>
  <c r="B38" i="13"/>
  <c r="AD37" i="13"/>
  <c r="AB37" i="13"/>
  <c r="X37" i="13" a="1"/>
  <c r="X37" i="13" s="1"/>
  <c r="Y37" i="13" s="1"/>
  <c r="B37" i="13"/>
  <c r="AD36" i="13"/>
  <c r="AB36" i="13"/>
  <c r="X36" i="13" a="1"/>
  <c r="X36" i="13" s="1"/>
  <c r="Y36" i="13" s="1"/>
  <c r="AA36" i="13" s="1"/>
  <c r="B36" i="13"/>
  <c r="AD35" i="13"/>
  <c r="AB35" i="13"/>
  <c r="X35" i="13" a="1"/>
  <c r="X35" i="13" s="1"/>
  <c r="Y35" i="13" s="1"/>
  <c r="AA35" i="13" s="1"/>
  <c r="B35" i="13"/>
  <c r="AD34" i="13"/>
  <c r="AB34" i="13"/>
  <c r="X34" i="13" a="1"/>
  <c r="X34" i="13" s="1"/>
  <c r="Y34" i="13" s="1"/>
  <c r="AA34" i="13" s="1"/>
  <c r="B34" i="13"/>
  <c r="AD33" i="13"/>
  <c r="AB33" i="13"/>
  <c r="X33" i="13" a="1"/>
  <c r="X33" i="13" s="1"/>
  <c r="Y33" i="13" s="1"/>
  <c r="AA33" i="13" s="1"/>
  <c r="B33" i="13"/>
  <c r="AD32" i="13"/>
  <c r="AB32" i="13"/>
  <c r="X32" i="13" a="1"/>
  <c r="X32" i="13" s="1"/>
  <c r="Y32" i="13" s="1"/>
  <c r="B32" i="13"/>
  <c r="AD31" i="13"/>
  <c r="AB31" i="13"/>
  <c r="X31" i="13" a="1"/>
  <c r="X31" i="13" s="1"/>
  <c r="Y31" i="13" s="1"/>
  <c r="AA31" i="13" s="1"/>
  <c r="B31" i="13"/>
  <c r="AD30" i="13"/>
  <c r="AB30" i="13"/>
  <c r="X30" i="13" a="1"/>
  <c r="X30" i="13" s="1"/>
  <c r="Y30" i="13" s="1"/>
  <c r="AA30" i="13" s="1"/>
  <c r="B30" i="13"/>
  <c r="AD29" i="13"/>
  <c r="AB29" i="13"/>
  <c r="X29" i="13" a="1"/>
  <c r="X29" i="13" s="1"/>
  <c r="Y29" i="13" s="1"/>
  <c r="AA29" i="13" s="1"/>
  <c r="B29" i="13"/>
  <c r="AD28" i="13"/>
  <c r="AB28" i="13"/>
  <c r="X28" i="13" a="1"/>
  <c r="X28" i="13" s="1"/>
  <c r="Y28" i="13" s="1"/>
  <c r="AA28" i="13" s="1"/>
  <c r="B28" i="13"/>
  <c r="AD27" i="13"/>
  <c r="AB27" i="13"/>
  <c r="X27" i="13" a="1"/>
  <c r="X27" i="13" s="1"/>
  <c r="Y27" i="13" s="1"/>
  <c r="B27" i="13"/>
  <c r="AD26" i="13"/>
  <c r="AB26" i="13"/>
  <c r="X26" i="13" a="1"/>
  <c r="X26" i="13" s="1"/>
  <c r="Y26" i="13" s="1"/>
  <c r="AA26" i="13" s="1"/>
  <c r="B26" i="13"/>
  <c r="AD25" i="13"/>
  <c r="AB25" i="13"/>
  <c r="X25" i="13" a="1"/>
  <c r="X25" i="13" s="1"/>
  <c r="Y25" i="13" s="1"/>
  <c r="AA25" i="13" s="1"/>
  <c r="B25" i="13"/>
  <c r="AD24" i="13"/>
  <c r="AB24" i="13"/>
  <c r="X24" i="13" a="1"/>
  <c r="X24" i="13" s="1"/>
  <c r="Y24" i="13" s="1"/>
  <c r="B24" i="13"/>
  <c r="AD23" i="13"/>
  <c r="AB23" i="13"/>
  <c r="X23" i="13" a="1"/>
  <c r="X23" i="13" s="1"/>
  <c r="Y23" i="13" s="1"/>
  <c r="AA23" i="13" s="1"/>
  <c r="B23" i="13"/>
  <c r="AD22" i="13"/>
  <c r="AB22" i="13"/>
  <c r="X22" i="13" a="1"/>
  <c r="X22" i="13" s="1"/>
  <c r="Y22" i="13" s="1"/>
  <c r="B22" i="13"/>
  <c r="AD21" i="13"/>
  <c r="AB21" i="13"/>
  <c r="X21" i="13" a="1"/>
  <c r="X21" i="13" s="1"/>
  <c r="Y21" i="13" s="1"/>
  <c r="AA21" i="13" s="1"/>
  <c r="B21" i="13"/>
  <c r="AD20" i="13"/>
  <c r="AB20" i="13"/>
  <c r="X20" i="13" a="1"/>
  <c r="X20" i="13" s="1"/>
  <c r="Y20" i="13" s="1"/>
  <c r="AA20" i="13" s="1"/>
  <c r="B20" i="13"/>
  <c r="AD19" i="13"/>
  <c r="AB19" i="13"/>
  <c r="X19" i="13" a="1"/>
  <c r="X19" i="13" s="1"/>
  <c r="Y19" i="13" s="1"/>
  <c r="AA19" i="13" s="1"/>
  <c r="B19" i="13"/>
  <c r="AD18" i="13"/>
  <c r="AB18" i="13"/>
  <c r="X18" i="13" a="1"/>
  <c r="X18" i="13" s="1"/>
  <c r="Y18" i="13" s="1"/>
  <c r="B18" i="13"/>
  <c r="AD17" i="13"/>
  <c r="AB17" i="13"/>
  <c r="X17" i="13" a="1"/>
  <c r="X17" i="13" s="1"/>
  <c r="Y17" i="13" s="1"/>
  <c r="B17" i="13"/>
  <c r="AD16" i="13"/>
  <c r="AB16" i="13"/>
  <c r="X16" i="13" a="1"/>
  <c r="X16" i="13" s="1"/>
  <c r="Y16" i="13" s="1"/>
  <c r="AA16" i="13" s="1"/>
  <c r="B16" i="13"/>
  <c r="AD15" i="13"/>
  <c r="AB15" i="13"/>
  <c r="X15" i="13" a="1"/>
  <c r="X15" i="13" s="1"/>
  <c r="B15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AE47" i="12"/>
  <c r="AC47" i="12"/>
  <c r="Z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AD46" i="12"/>
  <c r="AB46" i="12"/>
  <c r="X46" i="12" a="1"/>
  <c r="X46" i="12" s="1"/>
  <c r="Y46" i="12" s="1"/>
  <c r="AA46" i="12" s="1"/>
  <c r="B46" i="12"/>
  <c r="AD45" i="12"/>
  <c r="AB45" i="12"/>
  <c r="X45" i="12" a="1"/>
  <c r="X45" i="12" s="1"/>
  <c r="Y45" i="12" s="1"/>
  <c r="AA45" i="12" s="1"/>
  <c r="B45" i="12"/>
  <c r="AD44" i="12"/>
  <c r="AB44" i="12"/>
  <c r="X44" i="12" a="1"/>
  <c r="X44" i="12" s="1"/>
  <c r="Y44" i="12" s="1"/>
  <c r="B44" i="12"/>
  <c r="AD43" i="12"/>
  <c r="AB43" i="12"/>
  <c r="X43" i="12" a="1"/>
  <c r="X43" i="12" s="1"/>
  <c r="Y43" i="12" s="1"/>
  <c r="AA43" i="12" s="1"/>
  <c r="B43" i="12"/>
  <c r="AD42" i="12"/>
  <c r="AB42" i="12"/>
  <c r="X42" i="12" a="1"/>
  <c r="X42" i="12" s="1"/>
  <c r="Y42" i="12" s="1"/>
  <c r="B42" i="12"/>
  <c r="AD41" i="12"/>
  <c r="AB41" i="12"/>
  <c r="X41" i="12" a="1"/>
  <c r="X41" i="12" s="1"/>
  <c r="Y41" i="12" s="1"/>
  <c r="B41" i="12"/>
  <c r="AD40" i="12"/>
  <c r="AB40" i="12"/>
  <c r="X40" i="12" a="1"/>
  <c r="X40" i="12" s="1"/>
  <c r="Y40" i="12" s="1"/>
  <c r="AA40" i="12" s="1"/>
  <c r="B40" i="12"/>
  <c r="AD39" i="12"/>
  <c r="AB39" i="12"/>
  <c r="X39" i="12" a="1"/>
  <c r="X39" i="12" s="1"/>
  <c r="Y39" i="12" s="1"/>
  <c r="AA39" i="12" s="1"/>
  <c r="B39" i="12"/>
  <c r="AD38" i="12"/>
  <c r="AB38" i="12"/>
  <c r="X38" i="12" a="1"/>
  <c r="X38" i="12" s="1"/>
  <c r="Y38" i="12" s="1"/>
  <c r="AA38" i="12" s="1"/>
  <c r="B38" i="12"/>
  <c r="AD37" i="12"/>
  <c r="AB37" i="12"/>
  <c r="X37" i="12" a="1"/>
  <c r="X37" i="12" s="1"/>
  <c r="Y37" i="12" s="1"/>
  <c r="AA37" i="12" s="1"/>
  <c r="B37" i="12"/>
  <c r="AD36" i="12"/>
  <c r="AB36" i="12"/>
  <c r="X36" i="12" a="1"/>
  <c r="X36" i="12" s="1"/>
  <c r="Y36" i="12" s="1"/>
  <c r="AA36" i="12" s="1"/>
  <c r="B36" i="12"/>
  <c r="AD35" i="12"/>
  <c r="AB35" i="12"/>
  <c r="X35" i="12" a="1"/>
  <c r="X35" i="12" s="1"/>
  <c r="Y35" i="12" s="1"/>
  <c r="AA35" i="12" s="1"/>
  <c r="B35" i="12"/>
  <c r="AD34" i="12"/>
  <c r="AB34" i="12"/>
  <c r="X34" i="12" a="1"/>
  <c r="X34" i="12" s="1"/>
  <c r="Y34" i="12" s="1"/>
  <c r="AA34" i="12" s="1"/>
  <c r="B34" i="12"/>
  <c r="AD33" i="12"/>
  <c r="AB33" i="12"/>
  <c r="X33" i="12" a="1"/>
  <c r="X33" i="12" s="1"/>
  <c r="Y33" i="12" s="1"/>
  <c r="B33" i="12"/>
  <c r="AD32" i="12"/>
  <c r="AB32" i="12"/>
  <c r="X32" i="12" a="1"/>
  <c r="X32" i="12" s="1"/>
  <c r="Y32" i="12" s="1"/>
  <c r="B32" i="12"/>
  <c r="AD31" i="12"/>
  <c r="AB31" i="12"/>
  <c r="X31" i="12" a="1"/>
  <c r="X31" i="12" s="1"/>
  <c r="Y31" i="12" s="1"/>
  <c r="AA31" i="12" s="1"/>
  <c r="B31" i="12"/>
  <c r="AD30" i="12"/>
  <c r="AB30" i="12"/>
  <c r="X30" i="12" a="1"/>
  <c r="X30" i="12" s="1"/>
  <c r="Y30" i="12" s="1"/>
  <c r="AA30" i="12" s="1"/>
  <c r="B30" i="12"/>
  <c r="AD29" i="12"/>
  <c r="AB29" i="12"/>
  <c r="X29" i="12" a="1"/>
  <c r="X29" i="12" s="1"/>
  <c r="Y29" i="12" s="1"/>
  <c r="AA29" i="12" s="1"/>
  <c r="B29" i="12"/>
  <c r="AD28" i="12"/>
  <c r="AB28" i="12"/>
  <c r="X28" i="12" a="1"/>
  <c r="X28" i="12" s="1"/>
  <c r="Y28" i="12" s="1"/>
  <c r="B28" i="12"/>
  <c r="AD27" i="12"/>
  <c r="AB27" i="12"/>
  <c r="X27" i="12" a="1"/>
  <c r="X27" i="12" s="1"/>
  <c r="Y27" i="12" s="1"/>
  <c r="B27" i="12"/>
  <c r="AD26" i="12"/>
  <c r="AB26" i="12"/>
  <c r="X26" i="12" a="1"/>
  <c r="X26" i="12" s="1"/>
  <c r="Y26" i="12" s="1"/>
  <c r="AA26" i="12" s="1"/>
  <c r="B26" i="12"/>
  <c r="AD25" i="12"/>
  <c r="AB25" i="12"/>
  <c r="X25" i="12" a="1"/>
  <c r="X25" i="12" s="1"/>
  <c r="Y25" i="12" s="1"/>
  <c r="AA25" i="12" s="1"/>
  <c r="B25" i="12"/>
  <c r="AD24" i="12"/>
  <c r="AB24" i="12"/>
  <c r="X24" i="12" a="1"/>
  <c r="X24" i="12" s="1"/>
  <c r="Y24" i="12" s="1"/>
  <c r="B24" i="12"/>
  <c r="AD23" i="12"/>
  <c r="AB23" i="12"/>
  <c r="X23" i="12" a="1"/>
  <c r="X23" i="12" s="1"/>
  <c r="Y23" i="12" s="1"/>
  <c r="B23" i="12"/>
  <c r="AD22" i="12"/>
  <c r="AB22" i="12"/>
  <c r="X22" i="12" a="1"/>
  <c r="X22" i="12" s="1"/>
  <c r="Y22" i="12" s="1"/>
  <c r="AA22" i="12" s="1"/>
  <c r="B22" i="12"/>
  <c r="AD21" i="12"/>
  <c r="AB21" i="12"/>
  <c r="X21" i="12" a="1"/>
  <c r="X21" i="12" s="1"/>
  <c r="Y21" i="12" s="1"/>
  <c r="B21" i="12"/>
  <c r="AD20" i="12"/>
  <c r="AB20" i="12"/>
  <c r="X20" i="12" a="1"/>
  <c r="X20" i="12" s="1"/>
  <c r="Y20" i="12" s="1"/>
  <c r="AA20" i="12" s="1"/>
  <c r="B20" i="12"/>
  <c r="AD19" i="12"/>
  <c r="AB19" i="12"/>
  <c r="X19" i="12" a="1"/>
  <c r="X19" i="12" s="1"/>
  <c r="Y19" i="12" s="1"/>
  <c r="AA19" i="12" s="1"/>
  <c r="B19" i="12"/>
  <c r="AD18" i="12"/>
  <c r="AB18" i="12"/>
  <c r="X18" i="12" a="1"/>
  <c r="X18" i="12" s="1"/>
  <c r="Y18" i="12" s="1"/>
  <c r="B18" i="12"/>
  <c r="AD17" i="12"/>
  <c r="AB17" i="12"/>
  <c r="X17" i="12" a="1"/>
  <c r="X17" i="12" s="1"/>
  <c r="Y17" i="12" s="1"/>
  <c r="B17" i="12"/>
  <c r="AD16" i="12"/>
  <c r="AB16" i="12"/>
  <c r="X16" i="12" a="1"/>
  <c r="X16" i="12" s="1"/>
  <c r="Y16" i="12" s="1"/>
  <c r="AA16" i="12" s="1"/>
  <c r="B16" i="12"/>
  <c r="AD15" i="12"/>
  <c r="AB15" i="12"/>
  <c r="X15" i="12" a="1"/>
  <c r="X15" i="12" s="1"/>
  <c r="B15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AE48" i="11"/>
  <c r="AC48" i="11"/>
  <c r="Z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AD47" i="11"/>
  <c r="AB47" i="11"/>
  <c r="X47" i="11" a="1"/>
  <c r="X47" i="11" s="1"/>
  <c r="Y47" i="11" s="1"/>
  <c r="B47" i="11"/>
  <c r="AD46" i="11"/>
  <c r="AB46" i="11"/>
  <c r="X46" i="11" a="1"/>
  <c r="X46" i="11" s="1"/>
  <c r="Y46" i="11" s="1"/>
  <c r="AA46" i="11" s="1"/>
  <c r="B46" i="11"/>
  <c r="AD45" i="11"/>
  <c r="AB45" i="11"/>
  <c r="X45" i="11" a="1"/>
  <c r="X45" i="11" s="1"/>
  <c r="Y45" i="11" s="1"/>
  <c r="B45" i="11"/>
  <c r="AD44" i="11"/>
  <c r="AB44" i="11"/>
  <c r="X44" i="11" a="1"/>
  <c r="X44" i="11" s="1"/>
  <c r="Y44" i="11" s="1"/>
  <c r="B44" i="11"/>
  <c r="AD43" i="11"/>
  <c r="AB43" i="11"/>
  <c r="X43" i="11" a="1"/>
  <c r="X43" i="11" s="1"/>
  <c r="Y43" i="11" s="1"/>
  <c r="AA43" i="11" s="1"/>
  <c r="B43" i="11"/>
  <c r="AD42" i="11"/>
  <c r="AB42" i="11"/>
  <c r="X42" i="11" a="1"/>
  <c r="X42" i="11" s="1"/>
  <c r="Y42" i="11" s="1"/>
  <c r="B42" i="11"/>
  <c r="AD41" i="11"/>
  <c r="AB41" i="11"/>
  <c r="X41" i="11" a="1"/>
  <c r="X41" i="11" s="1"/>
  <c r="Y41" i="11" s="1"/>
  <c r="AA41" i="11" s="1"/>
  <c r="B41" i="11"/>
  <c r="AD40" i="11"/>
  <c r="AB40" i="11"/>
  <c r="X40" i="11" a="1"/>
  <c r="X40" i="11" s="1"/>
  <c r="Y40" i="11" s="1"/>
  <c r="AA40" i="11" s="1"/>
  <c r="B40" i="11"/>
  <c r="AD39" i="11"/>
  <c r="AB39" i="11"/>
  <c r="X39" i="11" a="1"/>
  <c r="X39" i="11" s="1"/>
  <c r="Y39" i="11" s="1"/>
  <c r="B39" i="11"/>
  <c r="AD38" i="11"/>
  <c r="AB38" i="11"/>
  <c r="X38" i="11" a="1"/>
  <c r="X38" i="11" s="1"/>
  <c r="Y38" i="11" s="1"/>
  <c r="AA38" i="11" s="1"/>
  <c r="B38" i="11"/>
  <c r="AD37" i="11"/>
  <c r="AB37" i="11"/>
  <c r="X37" i="11" a="1"/>
  <c r="X37" i="11" s="1"/>
  <c r="Y37" i="11" s="1"/>
  <c r="B37" i="11"/>
  <c r="AD36" i="11"/>
  <c r="AB36" i="11"/>
  <c r="X36" i="11" a="1"/>
  <c r="X36" i="11" s="1"/>
  <c r="Y36" i="11" s="1"/>
  <c r="AA36" i="11" s="1"/>
  <c r="B36" i="11"/>
  <c r="AD35" i="11"/>
  <c r="AB35" i="11"/>
  <c r="X35" i="11" a="1"/>
  <c r="X35" i="11" s="1"/>
  <c r="Y35" i="11" s="1"/>
  <c r="AA35" i="11" s="1"/>
  <c r="B35" i="11"/>
  <c r="AD34" i="11"/>
  <c r="AB34" i="11"/>
  <c r="X34" i="11" a="1"/>
  <c r="X34" i="11" s="1"/>
  <c r="Y34" i="11" s="1"/>
  <c r="B34" i="11"/>
  <c r="AD33" i="11"/>
  <c r="AB33" i="11"/>
  <c r="X33" i="11" a="1"/>
  <c r="X33" i="11" s="1"/>
  <c r="Y33" i="11" s="1"/>
  <c r="B33" i="11"/>
  <c r="AD32" i="11"/>
  <c r="AB32" i="11"/>
  <c r="X32" i="11" a="1"/>
  <c r="X32" i="11" s="1"/>
  <c r="Y32" i="11" s="1"/>
  <c r="B32" i="11"/>
  <c r="AD31" i="11"/>
  <c r="AB31" i="11"/>
  <c r="X31" i="11" a="1"/>
  <c r="X31" i="11" s="1"/>
  <c r="Y31" i="11" s="1"/>
  <c r="AA31" i="11" s="1"/>
  <c r="B31" i="11"/>
  <c r="AD30" i="11"/>
  <c r="AB30" i="11"/>
  <c r="X30" i="11" a="1"/>
  <c r="X30" i="11" s="1"/>
  <c r="Y30" i="11" s="1"/>
  <c r="B30" i="11"/>
  <c r="AD29" i="11"/>
  <c r="AB29" i="11"/>
  <c r="X29" i="11" a="1"/>
  <c r="X29" i="11" s="1"/>
  <c r="Y29" i="11" s="1"/>
  <c r="B29" i="11"/>
  <c r="AD28" i="11"/>
  <c r="AB28" i="11"/>
  <c r="X28" i="11" a="1"/>
  <c r="X28" i="11" s="1"/>
  <c r="Y28" i="11" s="1"/>
  <c r="B28" i="11"/>
  <c r="AD27" i="11"/>
  <c r="AB27" i="11"/>
  <c r="X27" i="11" a="1"/>
  <c r="X27" i="11" s="1"/>
  <c r="Y27" i="11" s="1"/>
  <c r="B27" i="11"/>
  <c r="AD26" i="11"/>
  <c r="AB26" i="11"/>
  <c r="X26" i="11" a="1"/>
  <c r="X26" i="11" s="1"/>
  <c r="Y26" i="11" s="1"/>
  <c r="AA26" i="11" s="1"/>
  <c r="B26" i="11"/>
  <c r="AD23" i="11"/>
  <c r="AB23" i="11"/>
  <c r="X23" i="11" a="1"/>
  <c r="X23" i="11" s="1"/>
  <c r="Y23" i="11" s="1"/>
  <c r="B23" i="11"/>
  <c r="AD22" i="11"/>
  <c r="AB22" i="11"/>
  <c r="X22" i="11" a="1"/>
  <c r="X22" i="11" s="1"/>
  <c r="Y22" i="11" s="1"/>
  <c r="B22" i="11"/>
  <c r="AD21" i="11"/>
  <c r="AB21" i="11"/>
  <c r="X21" i="11" a="1"/>
  <c r="X21" i="11" s="1"/>
  <c r="Y21" i="11" s="1"/>
  <c r="B21" i="11"/>
  <c r="AD20" i="11"/>
  <c r="AB20" i="11"/>
  <c r="X20" i="11" a="1"/>
  <c r="X20" i="11" s="1"/>
  <c r="Y20" i="11" s="1"/>
  <c r="AA20" i="11" s="1"/>
  <c r="B20" i="11"/>
  <c r="AD19" i="11"/>
  <c r="AB19" i="11"/>
  <c r="X19" i="11" a="1"/>
  <c r="X19" i="11" s="1"/>
  <c r="Y19" i="11" s="1"/>
  <c r="AA19" i="11" s="1"/>
  <c r="B19" i="11"/>
  <c r="AD18" i="11"/>
  <c r="AB18" i="11"/>
  <c r="X18" i="11" a="1"/>
  <c r="X18" i="11" s="1"/>
  <c r="Y18" i="11" s="1"/>
  <c r="B18" i="11"/>
  <c r="AD17" i="11"/>
  <c r="AB17" i="11"/>
  <c r="X17" i="11" a="1"/>
  <c r="X17" i="11" s="1"/>
  <c r="Y17" i="11" s="1"/>
  <c r="B17" i="11"/>
  <c r="AD16" i="11"/>
  <c r="AB16" i="11"/>
  <c r="X16" i="11" a="1"/>
  <c r="X16" i="11" s="1"/>
  <c r="Y16" i="11" s="1"/>
  <c r="B16" i="11"/>
  <c r="AD15" i="11"/>
  <c r="AB15" i="11"/>
  <c r="X15" i="11" a="1"/>
  <c r="X15" i="11" s="1"/>
  <c r="B15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AE47" i="9"/>
  <c r="AC47" i="9"/>
  <c r="Z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AD46" i="9"/>
  <c r="AB46" i="9"/>
  <c r="X46" i="9" a="1"/>
  <c r="X46" i="9" s="1"/>
  <c r="Y46" i="9" s="1"/>
  <c r="B46" i="9"/>
  <c r="AD45" i="9"/>
  <c r="AB45" i="9"/>
  <c r="X45" i="9" a="1"/>
  <c r="X45" i="9" s="1"/>
  <c r="Y45" i="9" s="1"/>
  <c r="AA45" i="9" s="1"/>
  <c r="B45" i="9"/>
  <c r="AD44" i="9"/>
  <c r="AB44" i="9"/>
  <c r="X44" i="9" a="1"/>
  <c r="X44" i="9" s="1"/>
  <c r="Y44" i="9" s="1"/>
  <c r="B44" i="9"/>
  <c r="AD43" i="9"/>
  <c r="AB43" i="9"/>
  <c r="X43" i="9" a="1"/>
  <c r="X43" i="9" s="1"/>
  <c r="Y43" i="9" s="1"/>
  <c r="AA43" i="9" s="1"/>
  <c r="B43" i="9"/>
  <c r="AD42" i="9"/>
  <c r="AB42" i="9"/>
  <c r="X42" i="9" a="1"/>
  <c r="X42" i="9" s="1"/>
  <c r="Y42" i="9" s="1"/>
  <c r="AA42" i="9" s="1"/>
  <c r="B42" i="9"/>
  <c r="AD41" i="9"/>
  <c r="AB41" i="9"/>
  <c r="X41" i="9" a="1"/>
  <c r="X41" i="9" s="1"/>
  <c r="Y41" i="9" s="1"/>
  <c r="AA41" i="9" s="1"/>
  <c r="B41" i="9"/>
  <c r="AD40" i="9"/>
  <c r="AB40" i="9"/>
  <c r="X40" i="9" a="1"/>
  <c r="X40" i="9" s="1"/>
  <c r="Y40" i="9" s="1"/>
  <c r="AA40" i="9" s="1"/>
  <c r="B40" i="9"/>
  <c r="AD39" i="9"/>
  <c r="AB39" i="9"/>
  <c r="X39" i="9" a="1"/>
  <c r="X39" i="9" s="1"/>
  <c r="Y39" i="9" s="1"/>
  <c r="AA39" i="9" s="1"/>
  <c r="B39" i="9"/>
  <c r="AD38" i="9"/>
  <c r="AB38" i="9"/>
  <c r="X38" i="9" a="1"/>
  <c r="X38" i="9" s="1"/>
  <c r="Y38" i="9" s="1"/>
  <c r="AA38" i="9" s="1"/>
  <c r="B38" i="9"/>
  <c r="AD37" i="9"/>
  <c r="AB37" i="9"/>
  <c r="X37" i="9" a="1"/>
  <c r="X37" i="9" s="1"/>
  <c r="Y37" i="9" s="1"/>
  <c r="AA37" i="9" s="1"/>
  <c r="B37" i="9"/>
  <c r="AD36" i="9"/>
  <c r="AB36" i="9"/>
  <c r="X36" i="9" a="1"/>
  <c r="X36" i="9" s="1"/>
  <c r="Y36" i="9" s="1"/>
  <c r="AA36" i="9" s="1"/>
  <c r="B36" i="9"/>
  <c r="AD35" i="9"/>
  <c r="AB35" i="9"/>
  <c r="X35" i="9" a="1"/>
  <c r="X35" i="9" s="1"/>
  <c r="Y35" i="9" s="1"/>
  <c r="AA35" i="9" s="1"/>
  <c r="B35" i="9"/>
  <c r="AD34" i="9"/>
  <c r="AB34" i="9"/>
  <c r="X34" i="9" a="1"/>
  <c r="X34" i="9" s="1"/>
  <c r="Y34" i="9" s="1"/>
  <c r="AA34" i="9" s="1"/>
  <c r="B34" i="9"/>
  <c r="AD33" i="9"/>
  <c r="AB33" i="9"/>
  <c r="X33" i="9" a="1"/>
  <c r="X33" i="9" s="1"/>
  <c r="Y33" i="9" s="1"/>
  <c r="AA33" i="9" s="1"/>
  <c r="B33" i="9"/>
  <c r="AD32" i="9"/>
  <c r="AB32" i="9"/>
  <c r="X32" i="9" a="1"/>
  <c r="X32" i="9" s="1"/>
  <c r="Y32" i="9" s="1"/>
  <c r="AA32" i="9" s="1"/>
  <c r="B32" i="9"/>
  <c r="AD31" i="9"/>
  <c r="AB31" i="9"/>
  <c r="X31" i="9" a="1"/>
  <c r="X31" i="9" s="1"/>
  <c r="Y31" i="9" s="1"/>
  <c r="B31" i="9"/>
  <c r="AD30" i="9"/>
  <c r="AB30" i="9"/>
  <c r="X30" i="9" a="1"/>
  <c r="X30" i="9" s="1"/>
  <c r="Y30" i="9" s="1"/>
  <c r="AA30" i="9" s="1"/>
  <c r="B30" i="9"/>
  <c r="AD29" i="9"/>
  <c r="AB29" i="9"/>
  <c r="X29" i="9" a="1"/>
  <c r="X29" i="9" s="1"/>
  <c r="Y29" i="9" s="1"/>
  <c r="AA29" i="9" s="1"/>
  <c r="B29" i="9"/>
  <c r="AD28" i="9"/>
  <c r="AB28" i="9"/>
  <c r="X28" i="9" a="1"/>
  <c r="X28" i="9" s="1"/>
  <c r="Y28" i="9" s="1"/>
  <c r="AA28" i="9" s="1"/>
  <c r="B28" i="9"/>
  <c r="AD27" i="9"/>
  <c r="AB27" i="9"/>
  <c r="X27" i="9" a="1"/>
  <c r="X27" i="9" s="1"/>
  <c r="Y27" i="9" s="1"/>
  <c r="B27" i="9"/>
  <c r="AD26" i="9"/>
  <c r="AB26" i="9"/>
  <c r="X26" i="9" a="1"/>
  <c r="X26" i="9" s="1"/>
  <c r="Y26" i="9" s="1"/>
  <c r="B26" i="9"/>
  <c r="AD25" i="9"/>
  <c r="AB25" i="9"/>
  <c r="X25" i="9" a="1"/>
  <c r="X25" i="9" s="1"/>
  <c r="Y25" i="9" s="1"/>
  <c r="AA25" i="9" s="1"/>
  <c r="B25" i="9"/>
  <c r="AD24" i="9"/>
  <c r="AB24" i="9"/>
  <c r="X24" i="9" a="1"/>
  <c r="X24" i="9" s="1"/>
  <c r="Y24" i="9" s="1"/>
  <c r="B24" i="9"/>
  <c r="AD23" i="9"/>
  <c r="AB23" i="9"/>
  <c r="X23" i="9" a="1"/>
  <c r="X23" i="9" s="1"/>
  <c r="Y23" i="9" s="1"/>
  <c r="B23" i="9"/>
  <c r="AD22" i="9"/>
  <c r="AB22" i="9"/>
  <c r="X22" i="9" a="1"/>
  <c r="X22" i="9" s="1"/>
  <c r="Y22" i="9" s="1"/>
  <c r="B22" i="9"/>
  <c r="AD21" i="9"/>
  <c r="AB21" i="9"/>
  <c r="X21" i="9" a="1"/>
  <c r="X21" i="9" s="1"/>
  <c r="Y21" i="9" s="1"/>
  <c r="B21" i="9"/>
  <c r="AD20" i="9"/>
  <c r="AB20" i="9"/>
  <c r="X20" i="9" a="1"/>
  <c r="X20" i="9" s="1"/>
  <c r="Y20" i="9" s="1"/>
  <c r="AA20" i="9" s="1"/>
  <c r="B20" i="9"/>
  <c r="AD19" i="9"/>
  <c r="AB19" i="9"/>
  <c r="X19" i="9" a="1"/>
  <c r="X19" i="9" s="1"/>
  <c r="Y19" i="9" s="1"/>
  <c r="AA19" i="9" s="1"/>
  <c r="B19" i="9"/>
  <c r="AD18" i="9"/>
  <c r="AB18" i="9"/>
  <c r="X18" i="9" a="1"/>
  <c r="X18" i="9" s="1"/>
  <c r="Y18" i="9" s="1"/>
  <c r="B18" i="9"/>
  <c r="AD17" i="9"/>
  <c r="AB17" i="9"/>
  <c r="X17" i="9" a="1"/>
  <c r="X17" i="9" s="1"/>
  <c r="Y17" i="9" s="1"/>
  <c r="AA17" i="9" s="1"/>
  <c r="B17" i="9"/>
  <c r="AD16" i="9"/>
  <c r="AB16" i="9"/>
  <c r="X16" i="9" a="1"/>
  <c r="X16" i="9" s="1"/>
  <c r="Y16" i="9" s="1"/>
  <c r="B16" i="9"/>
  <c r="AD15" i="9"/>
  <c r="AB15" i="9"/>
  <c r="X15" i="9" a="1"/>
  <c r="X15" i="9" s="1"/>
  <c r="Y15" i="9" s="1"/>
  <c r="B15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AE48" i="8"/>
  <c r="AC48" i="8"/>
  <c r="Z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AD47" i="8"/>
  <c r="AB47" i="8"/>
  <c r="X47" i="8" a="1"/>
  <c r="X47" i="8" s="1"/>
  <c r="Y47" i="8" s="1"/>
  <c r="B47" i="8"/>
  <c r="AD46" i="8"/>
  <c r="AB46" i="8"/>
  <c r="X46" i="8" a="1"/>
  <c r="X46" i="8" s="1"/>
  <c r="Y46" i="8" s="1"/>
  <c r="B46" i="8"/>
  <c r="AD45" i="8"/>
  <c r="AB45" i="8"/>
  <c r="X45" i="8" a="1"/>
  <c r="X45" i="8" s="1"/>
  <c r="Y45" i="8" s="1"/>
  <c r="B45" i="8"/>
  <c r="AD44" i="8"/>
  <c r="AB44" i="8"/>
  <c r="X44" i="8" a="1"/>
  <c r="X44" i="8" s="1"/>
  <c r="Y44" i="8" s="1"/>
  <c r="B44" i="8"/>
  <c r="AD43" i="8"/>
  <c r="AB43" i="8"/>
  <c r="X43" i="8" a="1"/>
  <c r="X43" i="8" s="1"/>
  <c r="Y43" i="8" s="1"/>
  <c r="AA43" i="8" s="1"/>
  <c r="B43" i="8"/>
  <c r="AD42" i="8"/>
  <c r="AB42" i="8"/>
  <c r="X42" i="8" a="1"/>
  <c r="X42" i="8" s="1"/>
  <c r="Y42" i="8" s="1"/>
  <c r="B42" i="8"/>
  <c r="AD41" i="8"/>
  <c r="AB41" i="8"/>
  <c r="X41" i="8" a="1"/>
  <c r="X41" i="8" s="1"/>
  <c r="Y41" i="8" s="1"/>
  <c r="B41" i="8"/>
  <c r="AD40" i="8"/>
  <c r="AB40" i="8"/>
  <c r="X40" i="8" a="1"/>
  <c r="X40" i="8" s="1"/>
  <c r="Y40" i="8" s="1"/>
  <c r="AA40" i="8" s="1"/>
  <c r="B40" i="8"/>
  <c r="AD39" i="8"/>
  <c r="AB39" i="8"/>
  <c r="X39" i="8" a="1"/>
  <c r="X39" i="8" s="1"/>
  <c r="Y39" i="8" s="1"/>
  <c r="B39" i="8"/>
  <c r="AD38" i="8"/>
  <c r="AB38" i="8"/>
  <c r="X38" i="8" a="1"/>
  <c r="X38" i="8" s="1"/>
  <c r="Y38" i="8" s="1"/>
  <c r="AA38" i="8" s="1"/>
  <c r="B38" i="8"/>
  <c r="AD37" i="8"/>
  <c r="AB37" i="8"/>
  <c r="X37" i="8" a="1"/>
  <c r="X37" i="8" s="1"/>
  <c r="Y37" i="8" s="1"/>
  <c r="B37" i="8"/>
  <c r="AD36" i="8"/>
  <c r="AB36" i="8"/>
  <c r="X36" i="8" a="1"/>
  <c r="X36" i="8" s="1"/>
  <c r="Y36" i="8" s="1"/>
  <c r="B36" i="8"/>
  <c r="AD35" i="8"/>
  <c r="AB35" i="8"/>
  <c r="X35" i="8" a="1"/>
  <c r="X35" i="8" s="1"/>
  <c r="Y35" i="8" s="1"/>
  <c r="AA35" i="8" s="1"/>
  <c r="B35" i="8"/>
  <c r="AD34" i="8"/>
  <c r="AB34" i="8"/>
  <c r="X34" i="8" a="1"/>
  <c r="X34" i="8" s="1"/>
  <c r="Y34" i="8" s="1"/>
  <c r="AA34" i="8" s="1"/>
  <c r="B34" i="8"/>
  <c r="AD33" i="8"/>
  <c r="AB33" i="8"/>
  <c r="X33" i="8" a="1"/>
  <c r="X33" i="8" s="1"/>
  <c r="Y33" i="8" s="1"/>
  <c r="AA33" i="8" s="1"/>
  <c r="B33" i="8"/>
  <c r="AD32" i="8"/>
  <c r="AB32" i="8"/>
  <c r="X32" i="8" a="1"/>
  <c r="X32" i="8" s="1"/>
  <c r="Y32" i="8" s="1"/>
  <c r="B32" i="8"/>
  <c r="AD31" i="8"/>
  <c r="AB31" i="8"/>
  <c r="X31" i="8" a="1"/>
  <c r="X31" i="8" s="1"/>
  <c r="Y31" i="8" s="1"/>
  <c r="B31" i="8"/>
  <c r="AD30" i="8"/>
  <c r="AB30" i="8"/>
  <c r="X30" i="8" a="1"/>
  <c r="X30" i="8" s="1"/>
  <c r="Y30" i="8" s="1"/>
  <c r="AA30" i="8" s="1"/>
  <c r="B30" i="8"/>
  <c r="AD29" i="8"/>
  <c r="AB29" i="8"/>
  <c r="X29" i="8" a="1"/>
  <c r="X29" i="8" s="1"/>
  <c r="Y29" i="8" s="1"/>
  <c r="B29" i="8"/>
  <c r="AD28" i="8"/>
  <c r="AB28" i="8"/>
  <c r="X28" i="8" a="1"/>
  <c r="X28" i="8" s="1"/>
  <c r="Y28" i="8" s="1"/>
  <c r="B28" i="8"/>
  <c r="AD27" i="8"/>
  <c r="AB27" i="8"/>
  <c r="X27" i="8" a="1"/>
  <c r="X27" i="8" s="1"/>
  <c r="Y27" i="8" s="1"/>
  <c r="B27" i="8"/>
  <c r="AD26" i="8"/>
  <c r="AB26" i="8"/>
  <c r="X26" i="8" a="1"/>
  <c r="X26" i="8" s="1"/>
  <c r="Y26" i="8" s="1"/>
  <c r="B26" i="8"/>
  <c r="AD25" i="8"/>
  <c r="AB25" i="8"/>
  <c r="X25" i="8" a="1"/>
  <c r="X25" i="8" s="1"/>
  <c r="Y25" i="8" s="1"/>
  <c r="B25" i="8"/>
  <c r="B24" i="8"/>
  <c r="AD22" i="8"/>
  <c r="AB22" i="8"/>
  <c r="X22" i="8" a="1"/>
  <c r="X22" i="8" s="1"/>
  <c r="Y22" i="8" s="1"/>
  <c r="AA22" i="8" s="1"/>
  <c r="B22" i="8"/>
  <c r="AD21" i="8"/>
  <c r="AB21" i="8"/>
  <c r="X21" i="8" a="1"/>
  <c r="X21" i="8" s="1"/>
  <c r="Y21" i="8" s="1"/>
  <c r="B21" i="8"/>
  <c r="AD20" i="8"/>
  <c r="AB20" i="8"/>
  <c r="X20" i="8" a="1"/>
  <c r="X20" i="8" s="1"/>
  <c r="Y20" i="8" s="1"/>
  <c r="B20" i="8"/>
  <c r="AD19" i="8"/>
  <c r="AB19" i="8"/>
  <c r="X19" i="8" a="1"/>
  <c r="X19" i="8" s="1"/>
  <c r="Y19" i="8" s="1"/>
  <c r="AA19" i="8" s="1"/>
  <c r="B19" i="8"/>
  <c r="AD18" i="8"/>
  <c r="AB18" i="8"/>
  <c r="X18" i="8" a="1"/>
  <c r="X18" i="8" s="1"/>
  <c r="Y18" i="8" s="1"/>
  <c r="B18" i="8"/>
  <c r="AD17" i="8"/>
  <c r="AB17" i="8"/>
  <c r="X17" i="8" a="1"/>
  <c r="X17" i="8" s="1"/>
  <c r="Y17" i="8" s="1"/>
  <c r="AA17" i="8" s="1"/>
  <c r="B17" i="8"/>
  <c r="AD16" i="8"/>
  <c r="AB16" i="8"/>
  <c r="X16" i="8" a="1"/>
  <c r="X16" i="8" s="1"/>
  <c r="Y16" i="8" s="1"/>
  <c r="B16" i="8"/>
  <c r="AD15" i="8"/>
  <c r="AB15" i="8"/>
  <c r="X15" i="8" a="1"/>
  <c r="X15" i="8" s="1"/>
  <c r="B15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AE47" i="7"/>
  <c r="AC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AD46" i="7"/>
  <c r="AB46" i="7"/>
  <c r="X46" i="7" a="1"/>
  <c r="X46" i="7" s="1"/>
  <c r="Y46" i="7" s="1"/>
  <c r="AA46" i="7" s="1"/>
  <c r="B46" i="7"/>
  <c r="AD45" i="7"/>
  <c r="AB45" i="7"/>
  <c r="X45" i="7" a="1"/>
  <c r="X45" i="7" s="1"/>
  <c r="Y45" i="7" s="1"/>
  <c r="AA45" i="7" s="1"/>
  <c r="B45" i="7"/>
  <c r="AD44" i="7"/>
  <c r="AB44" i="7"/>
  <c r="X44" i="7" a="1"/>
  <c r="X44" i="7" s="1"/>
  <c r="Y44" i="7" s="1"/>
  <c r="B44" i="7"/>
  <c r="AD43" i="7"/>
  <c r="AB43" i="7"/>
  <c r="X43" i="7" a="1"/>
  <c r="X43" i="7" s="1"/>
  <c r="Y43" i="7" s="1"/>
  <c r="AA43" i="7" s="1"/>
  <c r="B43" i="7"/>
  <c r="AD42" i="7"/>
  <c r="AB42" i="7"/>
  <c r="X42" i="7" a="1"/>
  <c r="X42" i="7" s="1"/>
  <c r="Y42" i="7" s="1"/>
  <c r="AA42" i="7" s="1"/>
  <c r="B42" i="7"/>
  <c r="AD41" i="7"/>
  <c r="AB41" i="7"/>
  <c r="X41" i="7" a="1"/>
  <c r="X41" i="7" s="1"/>
  <c r="Y41" i="7" s="1"/>
  <c r="B41" i="7"/>
  <c r="AD40" i="7"/>
  <c r="AB40" i="7"/>
  <c r="X40" i="7" a="1"/>
  <c r="X40" i="7" s="1"/>
  <c r="Y40" i="7" s="1"/>
  <c r="AA40" i="7" s="1"/>
  <c r="B40" i="7"/>
  <c r="AD39" i="7"/>
  <c r="AB39" i="7"/>
  <c r="X39" i="7" a="1"/>
  <c r="X39" i="7" s="1"/>
  <c r="Y39" i="7" s="1"/>
  <c r="AA39" i="7" s="1"/>
  <c r="B39" i="7"/>
  <c r="AD38" i="7"/>
  <c r="AB38" i="7"/>
  <c r="X38" i="7" a="1"/>
  <c r="X38" i="7" s="1"/>
  <c r="Y38" i="7" s="1"/>
  <c r="B38" i="7"/>
  <c r="AD37" i="7"/>
  <c r="AB37" i="7"/>
  <c r="X37" i="7" a="1"/>
  <c r="X37" i="7" s="1"/>
  <c r="Y37" i="7" s="1"/>
  <c r="AA37" i="7" s="1"/>
  <c r="B37" i="7"/>
  <c r="AD36" i="7"/>
  <c r="AB36" i="7"/>
  <c r="X36" i="7" a="1"/>
  <c r="X36" i="7" s="1"/>
  <c r="Y36" i="7" s="1"/>
  <c r="AA36" i="7" s="1"/>
  <c r="B36" i="7"/>
  <c r="AD35" i="7"/>
  <c r="AB35" i="7"/>
  <c r="X35" i="7" a="1"/>
  <c r="X35" i="7" s="1"/>
  <c r="Y35" i="7" s="1"/>
  <c r="AA35" i="7" s="1"/>
  <c r="B35" i="7"/>
  <c r="AD34" i="7"/>
  <c r="AB34" i="7"/>
  <c r="X34" i="7" a="1"/>
  <c r="X34" i="7" s="1"/>
  <c r="Y34" i="7" s="1"/>
  <c r="AA34" i="7" s="1"/>
  <c r="B34" i="7"/>
  <c r="AD33" i="7"/>
  <c r="AB33" i="7"/>
  <c r="X33" i="7" a="1"/>
  <c r="X33" i="7" s="1"/>
  <c r="Y33" i="7" s="1"/>
  <c r="AA33" i="7" s="1"/>
  <c r="B33" i="7"/>
  <c r="AD32" i="7"/>
  <c r="AB32" i="7"/>
  <c r="X32" i="7" a="1"/>
  <c r="X32" i="7" s="1"/>
  <c r="Y32" i="7" s="1"/>
  <c r="B32" i="7"/>
  <c r="AD31" i="7"/>
  <c r="AB31" i="7"/>
  <c r="X31" i="7" a="1"/>
  <c r="X31" i="7" s="1"/>
  <c r="Y31" i="7" s="1"/>
  <c r="AA31" i="7" s="1"/>
  <c r="B31" i="7"/>
  <c r="AD30" i="7"/>
  <c r="AB30" i="7"/>
  <c r="X30" i="7" a="1"/>
  <c r="X30" i="7" s="1"/>
  <c r="Y30" i="7" s="1"/>
  <c r="AA30" i="7" s="1"/>
  <c r="B30" i="7"/>
  <c r="AD29" i="7"/>
  <c r="AB29" i="7"/>
  <c r="X29" i="7" a="1"/>
  <c r="X29" i="7" s="1"/>
  <c r="Y29" i="7" s="1"/>
  <c r="B29" i="7"/>
  <c r="AD28" i="7"/>
  <c r="AB28" i="7"/>
  <c r="X28" i="7" a="1"/>
  <c r="X28" i="7" s="1"/>
  <c r="Y28" i="7" s="1"/>
  <c r="AA28" i="7" s="1"/>
  <c r="B28" i="7"/>
  <c r="AD27" i="7"/>
  <c r="AB27" i="7"/>
  <c r="X27" i="7" a="1"/>
  <c r="X27" i="7" s="1"/>
  <c r="Y27" i="7" s="1"/>
  <c r="B27" i="7"/>
  <c r="AD26" i="7"/>
  <c r="AB26" i="7"/>
  <c r="X26" i="7" a="1"/>
  <c r="X26" i="7" s="1"/>
  <c r="Y26" i="7" s="1"/>
  <c r="AA26" i="7" s="1"/>
  <c r="B26" i="7"/>
  <c r="AD25" i="7"/>
  <c r="AB25" i="7"/>
  <c r="X25" i="7" a="1"/>
  <c r="X25" i="7" s="1"/>
  <c r="Y25" i="7" s="1"/>
  <c r="AA25" i="7" s="1"/>
  <c r="B25" i="7"/>
  <c r="AD24" i="7"/>
  <c r="AB24" i="7"/>
  <c r="X24" i="7" a="1"/>
  <c r="X24" i="7" s="1"/>
  <c r="Y24" i="7" s="1"/>
  <c r="AD23" i="7"/>
  <c r="AB23" i="7"/>
  <c r="X23" i="7" a="1"/>
  <c r="X23" i="7" s="1"/>
  <c r="Y23" i="7" s="1"/>
  <c r="AA23" i="7" s="1"/>
  <c r="AD22" i="7"/>
  <c r="AB22" i="7"/>
  <c r="X22" i="7" a="1"/>
  <c r="X22" i="7" s="1"/>
  <c r="Y22" i="7" s="1"/>
  <c r="AD21" i="7"/>
  <c r="AB21" i="7"/>
  <c r="X21" i="7" a="1"/>
  <c r="X21" i="7" s="1"/>
  <c r="Y21" i="7" s="1"/>
  <c r="AD20" i="7"/>
  <c r="AB20" i="7"/>
  <c r="X20" i="7" a="1"/>
  <c r="X20" i="7" s="1"/>
  <c r="Y20" i="7" s="1"/>
  <c r="AA20" i="7" s="1"/>
  <c r="AD18" i="7"/>
  <c r="AB18" i="7"/>
  <c r="X18" i="7" a="1"/>
  <c r="X18" i="7" s="1"/>
  <c r="Y18" i="7" s="1"/>
  <c r="B18" i="7"/>
  <c r="AD17" i="7"/>
  <c r="AB17" i="7"/>
  <c r="X17" i="7" a="1"/>
  <c r="X17" i="7" s="1"/>
  <c r="Y17" i="7" s="1"/>
  <c r="B17" i="7"/>
  <c r="AD16" i="7"/>
  <c r="AB16" i="7"/>
  <c r="X16" i="7" a="1"/>
  <c r="X16" i="7" s="1"/>
  <c r="Y16" i="7" s="1"/>
  <c r="B16" i="7"/>
  <c r="AD15" i="7"/>
  <c r="AB15" i="7"/>
  <c r="X15" i="7" a="1"/>
  <c r="X15" i="7" s="1"/>
  <c r="B15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50" i="6"/>
  <c r="AC50" i="6"/>
  <c r="Z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D49" i="6"/>
  <c r="AB49" i="6"/>
  <c r="X49" i="6" a="1"/>
  <c r="X49" i="6" s="1"/>
  <c r="Y49" i="6" s="1"/>
  <c r="B49" i="6"/>
  <c r="AD48" i="6"/>
  <c r="AB48" i="6"/>
  <c r="X48" i="6" a="1"/>
  <c r="X48" i="6" s="1"/>
  <c r="Y48" i="6" s="1"/>
  <c r="AA48" i="6" s="1"/>
  <c r="B48" i="6"/>
  <c r="AD47" i="6"/>
  <c r="AB47" i="6"/>
  <c r="X47" i="6" a="1"/>
  <c r="X47" i="6" s="1"/>
  <c r="Y47" i="6" s="1"/>
  <c r="B47" i="6"/>
  <c r="AD46" i="6"/>
  <c r="AB46" i="6"/>
  <c r="X46" i="6" a="1"/>
  <c r="X46" i="6" s="1"/>
  <c r="Y46" i="6" s="1"/>
  <c r="AA46" i="6" s="1"/>
  <c r="B46" i="6"/>
  <c r="AD45" i="6"/>
  <c r="AB45" i="6"/>
  <c r="X45" i="6" a="1"/>
  <c r="X45" i="6" s="1"/>
  <c r="Y45" i="6" s="1"/>
  <c r="B45" i="6"/>
  <c r="AD44" i="6"/>
  <c r="AB44" i="6"/>
  <c r="X44" i="6" a="1"/>
  <c r="X44" i="6" s="1"/>
  <c r="Y44" i="6" s="1"/>
  <c r="B44" i="6"/>
  <c r="AD43" i="6"/>
  <c r="AB43" i="6"/>
  <c r="X43" i="6" a="1"/>
  <c r="X43" i="6" s="1"/>
  <c r="Y43" i="6" s="1"/>
  <c r="AA43" i="6" s="1"/>
  <c r="B43" i="6"/>
  <c r="AD42" i="6"/>
  <c r="AB42" i="6"/>
  <c r="X42" i="6" a="1"/>
  <c r="X42" i="6" s="1"/>
  <c r="Y42" i="6" s="1"/>
  <c r="B42" i="6"/>
  <c r="AD41" i="6"/>
  <c r="AB41" i="6"/>
  <c r="X41" i="6" a="1"/>
  <c r="X41" i="6" s="1"/>
  <c r="Y41" i="6" s="1"/>
  <c r="AA41" i="6" s="1"/>
  <c r="B41" i="6"/>
  <c r="AD40" i="6"/>
  <c r="AB40" i="6"/>
  <c r="X40" i="6" a="1"/>
  <c r="X40" i="6" s="1"/>
  <c r="Y40" i="6" s="1"/>
  <c r="B40" i="6"/>
  <c r="AD39" i="6"/>
  <c r="AB39" i="6"/>
  <c r="X39" i="6" a="1"/>
  <c r="X39" i="6" s="1"/>
  <c r="Y39" i="6" s="1"/>
  <c r="B39" i="6"/>
  <c r="AD38" i="6"/>
  <c r="AB38" i="6"/>
  <c r="X38" i="6" a="1"/>
  <c r="X38" i="6" s="1"/>
  <c r="Y38" i="6" s="1"/>
  <c r="AA38" i="6" s="1"/>
  <c r="B38" i="6"/>
  <c r="AD37" i="6"/>
  <c r="AB37" i="6"/>
  <c r="X37" i="6" a="1"/>
  <c r="X37" i="6" s="1"/>
  <c r="Y37" i="6" s="1"/>
  <c r="B37" i="6"/>
  <c r="AD36" i="6"/>
  <c r="AB36" i="6"/>
  <c r="X36" i="6" a="1"/>
  <c r="X36" i="6" s="1"/>
  <c r="Y36" i="6" s="1"/>
  <c r="AA36" i="6" s="1"/>
  <c r="B36" i="6"/>
  <c r="AD35" i="6"/>
  <c r="AB35" i="6"/>
  <c r="X35" i="6" a="1"/>
  <c r="X35" i="6" s="1"/>
  <c r="Y35" i="6" s="1"/>
  <c r="B35" i="6"/>
  <c r="AD34" i="6"/>
  <c r="AB34" i="6"/>
  <c r="X34" i="6" a="1"/>
  <c r="X34" i="6" s="1"/>
  <c r="Y34" i="6" s="1"/>
  <c r="B34" i="6"/>
  <c r="AD33" i="6"/>
  <c r="AB33" i="6"/>
  <c r="X33" i="6" a="1"/>
  <c r="X33" i="6" s="1"/>
  <c r="Y33" i="6" s="1"/>
  <c r="AA33" i="6" s="1"/>
  <c r="B33" i="6"/>
  <c r="AD32" i="6"/>
  <c r="AB32" i="6"/>
  <c r="X32" i="6" a="1"/>
  <c r="X32" i="6" s="1"/>
  <c r="Y32" i="6" s="1"/>
  <c r="B32" i="6"/>
  <c r="AD31" i="6"/>
  <c r="AB31" i="6"/>
  <c r="X31" i="6" a="1"/>
  <c r="X31" i="6" s="1"/>
  <c r="Y31" i="6" s="1"/>
  <c r="AA31" i="6" s="1"/>
  <c r="B31" i="6"/>
  <c r="AD30" i="6"/>
  <c r="AB30" i="6"/>
  <c r="X30" i="6" a="1"/>
  <c r="X30" i="6" s="1"/>
  <c r="Y30" i="6" s="1"/>
  <c r="B30" i="6"/>
  <c r="AD29" i="6"/>
  <c r="AB29" i="6"/>
  <c r="X29" i="6" a="1"/>
  <c r="X29" i="6" s="1"/>
  <c r="Y29" i="6" s="1"/>
  <c r="B29" i="6"/>
  <c r="AD28" i="6"/>
  <c r="AB28" i="6"/>
  <c r="X28" i="6" a="1"/>
  <c r="X28" i="6" s="1"/>
  <c r="Y28" i="6" s="1"/>
  <c r="AA28" i="6" s="1"/>
  <c r="AD27" i="6"/>
  <c r="AB27" i="6"/>
  <c r="X27" i="6" a="1"/>
  <c r="X27" i="6" s="1"/>
  <c r="Y27" i="6" s="1"/>
  <c r="AD26" i="6"/>
  <c r="AB26" i="6"/>
  <c r="X26" i="6" a="1"/>
  <c r="X26" i="6" s="1"/>
  <c r="Y26" i="6" s="1"/>
  <c r="AD24" i="6"/>
  <c r="AB24" i="6"/>
  <c r="X24" i="6" a="1"/>
  <c r="X24" i="6" s="1"/>
  <c r="Y24" i="6" s="1"/>
  <c r="AD23" i="6"/>
  <c r="AB23" i="6"/>
  <c r="X23" i="6" a="1"/>
  <c r="X23" i="6" s="1"/>
  <c r="Y23" i="6" s="1"/>
  <c r="AD22" i="6"/>
  <c r="AB22" i="6"/>
  <c r="X22" i="6" a="1"/>
  <c r="X22" i="6" s="1"/>
  <c r="Y22" i="6" s="1"/>
  <c r="AA22" i="6" s="1"/>
  <c r="AD18" i="6"/>
  <c r="AB18" i="6"/>
  <c r="X18" i="6" a="1"/>
  <c r="X18" i="6" s="1"/>
  <c r="Y18" i="6" s="1"/>
  <c r="AA18" i="6" s="1"/>
  <c r="B18" i="6"/>
  <c r="AD17" i="6"/>
  <c r="AB17" i="6"/>
  <c r="Y17" i="6"/>
  <c r="B17" i="6"/>
  <c r="AD16" i="6"/>
  <c r="AB16" i="6"/>
  <c r="X16" i="6" a="1"/>
  <c r="X16" i="6" s="1"/>
  <c r="Y16" i="6" s="1"/>
  <c r="B16" i="6"/>
  <c r="AD15" i="6"/>
  <c r="AB15" i="6"/>
  <c r="X15" i="6" a="1"/>
  <c r="X15" i="6" s="1"/>
  <c r="B15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AE49" i="5"/>
  <c r="AC49" i="5"/>
  <c r="Z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AD48" i="5"/>
  <c r="AB48" i="5"/>
  <c r="X48" i="5" a="1"/>
  <c r="X48" i="5" s="1"/>
  <c r="Y48" i="5" s="1"/>
  <c r="AA48" i="5" s="1"/>
  <c r="B48" i="5"/>
  <c r="AD47" i="5"/>
  <c r="AB47" i="5"/>
  <c r="X47" i="5" a="1"/>
  <c r="X47" i="5" s="1"/>
  <c r="Y47" i="5" s="1"/>
  <c r="AA47" i="5" s="1"/>
  <c r="B47" i="5"/>
  <c r="AD46" i="5"/>
  <c r="AB46" i="5"/>
  <c r="X46" i="5" a="1"/>
  <c r="X46" i="5" s="1"/>
  <c r="Y46" i="5" s="1"/>
  <c r="B46" i="5"/>
  <c r="AD45" i="5"/>
  <c r="AB45" i="5"/>
  <c r="X45" i="5" a="1"/>
  <c r="X45" i="5" s="1"/>
  <c r="Y45" i="5" s="1"/>
  <c r="AA45" i="5" s="1"/>
  <c r="B45" i="5"/>
  <c r="AD44" i="5"/>
  <c r="AB44" i="5"/>
  <c r="X44" i="5" a="1"/>
  <c r="X44" i="5" s="1"/>
  <c r="Y44" i="5" s="1"/>
  <c r="B44" i="5"/>
  <c r="AD43" i="5"/>
  <c r="AB43" i="5"/>
  <c r="X43" i="5" a="1"/>
  <c r="X43" i="5" s="1"/>
  <c r="Y43" i="5" s="1"/>
  <c r="B43" i="5"/>
  <c r="AD42" i="5"/>
  <c r="AB42" i="5"/>
  <c r="X42" i="5" a="1"/>
  <c r="X42" i="5" s="1"/>
  <c r="Y42" i="5" s="1"/>
  <c r="AA42" i="5" s="1"/>
  <c r="B42" i="5"/>
  <c r="AD41" i="5"/>
  <c r="AB41" i="5"/>
  <c r="X41" i="5" a="1"/>
  <c r="X41" i="5" s="1"/>
  <c r="Y41" i="5" s="1"/>
  <c r="AA41" i="5" s="1"/>
  <c r="B41" i="5"/>
  <c r="AD40" i="5"/>
  <c r="AB40" i="5"/>
  <c r="X40" i="5" a="1"/>
  <c r="X40" i="5" s="1"/>
  <c r="Y40" i="5" s="1"/>
  <c r="B40" i="5"/>
  <c r="AD39" i="5"/>
  <c r="AB39" i="5"/>
  <c r="X39" i="5" a="1"/>
  <c r="X39" i="5" s="1"/>
  <c r="Y39" i="5" s="1"/>
  <c r="B39" i="5"/>
  <c r="AD38" i="5"/>
  <c r="AB38" i="5"/>
  <c r="X38" i="5" a="1"/>
  <c r="X38" i="5" s="1"/>
  <c r="Y38" i="5" s="1"/>
  <c r="AA38" i="5" s="1"/>
  <c r="B38" i="5"/>
  <c r="AD37" i="5"/>
  <c r="AB37" i="5"/>
  <c r="X37" i="5" a="1"/>
  <c r="X37" i="5" s="1"/>
  <c r="Y37" i="5" s="1"/>
  <c r="B37" i="5"/>
  <c r="AD36" i="5"/>
  <c r="AB36" i="5"/>
  <c r="X36" i="5" a="1"/>
  <c r="X36" i="5" s="1"/>
  <c r="Y36" i="5" s="1"/>
  <c r="AA36" i="5" s="1"/>
  <c r="B36" i="5"/>
  <c r="AD35" i="5"/>
  <c r="AB35" i="5"/>
  <c r="X35" i="5" a="1"/>
  <c r="X35" i="5" s="1"/>
  <c r="Y35" i="5" s="1"/>
  <c r="AA35" i="5" s="1"/>
  <c r="B35" i="5"/>
  <c r="AD34" i="5"/>
  <c r="AB34" i="5"/>
  <c r="X34" i="5" a="1"/>
  <c r="X34" i="5" s="1"/>
  <c r="Y34" i="5" s="1"/>
  <c r="B34" i="5"/>
  <c r="AD33" i="5"/>
  <c r="AB33" i="5"/>
  <c r="X33" i="5" a="1"/>
  <c r="X33" i="5" s="1"/>
  <c r="Y33" i="5" s="1"/>
  <c r="AA33" i="5" s="1"/>
  <c r="B33" i="5"/>
  <c r="AD32" i="5"/>
  <c r="AB32" i="5"/>
  <c r="X32" i="5" a="1"/>
  <c r="X32" i="5" s="1"/>
  <c r="Y32" i="5" s="1"/>
  <c r="B32" i="5"/>
  <c r="AD31" i="5"/>
  <c r="AB31" i="5"/>
  <c r="X31" i="5" a="1"/>
  <c r="X31" i="5" s="1"/>
  <c r="Y31" i="5" s="1"/>
  <c r="AA31" i="5" s="1"/>
  <c r="B31" i="5"/>
  <c r="AD30" i="5"/>
  <c r="AB30" i="5"/>
  <c r="X30" i="5" a="1"/>
  <c r="X30" i="5" s="1"/>
  <c r="Y30" i="5" s="1"/>
  <c r="AA30" i="5" s="1"/>
  <c r="B30" i="5"/>
  <c r="AD29" i="5"/>
  <c r="AB29" i="5"/>
  <c r="X29" i="5" a="1"/>
  <c r="X29" i="5" s="1"/>
  <c r="Y29" i="5" s="1"/>
  <c r="B29" i="5"/>
  <c r="AD28" i="5"/>
  <c r="AB28" i="5"/>
  <c r="X28" i="5" a="1"/>
  <c r="X28" i="5" s="1"/>
  <c r="Y28" i="5" s="1"/>
  <c r="AA28" i="5" s="1"/>
  <c r="B28" i="5"/>
  <c r="AD27" i="5"/>
  <c r="AB27" i="5"/>
  <c r="X27" i="5" a="1"/>
  <c r="X27" i="5" s="1"/>
  <c r="Y27" i="5" s="1"/>
  <c r="B27" i="5"/>
  <c r="AD26" i="5"/>
  <c r="AB26" i="5"/>
  <c r="X26" i="5" a="1"/>
  <c r="X26" i="5" s="1"/>
  <c r="Y26" i="5" s="1"/>
  <c r="AD25" i="5"/>
  <c r="AB25" i="5"/>
  <c r="X25" i="5" a="1"/>
  <c r="X25" i="5" s="1"/>
  <c r="Y25" i="5" s="1"/>
  <c r="AD23" i="5"/>
  <c r="AB23" i="5"/>
  <c r="X23" i="5" a="1"/>
  <c r="X23" i="5" s="1"/>
  <c r="Y23" i="5" s="1"/>
  <c r="AA23" i="5" s="1"/>
  <c r="AD21" i="5"/>
  <c r="AB21" i="5"/>
  <c r="X21" i="5" a="1"/>
  <c r="X21" i="5" s="1"/>
  <c r="Y21" i="5" s="1"/>
  <c r="AD20" i="5"/>
  <c r="AB20" i="5"/>
  <c r="X20" i="5" a="1"/>
  <c r="X20" i="5" s="1"/>
  <c r="Y20" i="5" s="1"/>
  <c r="AD19" i="5"/>
  <c r="AB19" i="5"/>
  <c r="X19" i="5" a="1"/>
  <c r="X19" i="5" s="1"/>
  <c r="Y19" i="5" s="1"/>
  <c r="AA19" i="5" s="1"/>
  <c r="AD18" i="5"/>
  <c r="AB18" i="5"/>
  <c r="X18" i="5" a="1"/>
  <c r="X18" i="5" s="1"/>
  <c r="Y18" i="5" s="1"/>
  <c r="B18" i="5"/>
  <c r="AD17" i="5"/>
  <c r="AB17" i="5"/>
  <c r="X17" i="5" a="1"/>
  <c r="X17" i="5" s="1"/>
  <c r="Y17" i="5" s="1"/>
  <c r="B17" i="5"/>
  <c r="AD16" i="5"/>
  <c r="AB16" i="5"/>
  <c r="X16" i="5" a="1"/>
  <c r="X16" i="5" s="1"/>
  <c r="Y16" i="5" s="1"/>
  <c r="B16" i="5"/>
  <c r="AD15" i="5"/>
  <c r="AB15" i="5"/>
  <c r="B15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E47" i="4"/>
  <c r="AC47" i="4"/>
  <c r="Z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AD46" i="4"/>
  <c r="AB46" i="4"/>
  <c r="X46" i="4" a="1"/>
  <c r="X46" i="4" s="1"/>
  <c r="Y46" i="4" s="1"/>
  <c r="AA46" i="4" s="1"/>
  <c r="AD45" i="4"/>
  <c r="AB45" i="4"/>
  <c r="X45" i="4" a="1"/>
  <c r="X45" i="4" s="1"/>
  <c r="Y45" i="4" s="1"/>
  <c r="AD44" i="4"/>
  <c r="AB44" i="4"/>
  <c r="X44" i="4" a="1"/>
  <c r="X44" i="4" s="1"/>
  <c r="Y44" i="4" s="1"/>
  <c r="AD43" i="4"/>
  <c r="AB43" i="4"/>
  <c r="X43" i="4" a="1"/>
  <c r="X43" i="4" s="1"/>
  <c r="Y43" i="4" s="1"/>
  <c r="AA43" i="4" s="1"/>
  <c r="AD42" i="4"/>
  <c r="AB42" i="4"/>
  <c r="X42" i="4" a="1"/>
  <c r="X42" i="4" s="1"/>
  <c r="Y42" i="4" s="1"/>
  <c r="AA42" i="4" s="1"/>
  <c r="AD41" i="4"/>
  <c r="AB41" i="4"/>
  <c r="X41" i="4" a="1"/>
  <c r="X41" i="4" s="1"/>
  <c r="Y41" i="4" s="1"/>
  <c r="AA41" i="4" s="1"/>
  <c r="AD40" i="4"/>
  <c r="AB40" i="4"/>
  <c r="X40" i="4" a="1"/>
  <c r="X40" i="4" s="1"/>
  <c r="Y40" i="4" s="1"/>
  <c r="AD39" i="4"/>
  <c r="AB39" i="4"/>
  <c r="X39" i="4" a="1"/>
  <c r="X39" i="4" s="1"/>
  <c r="Y39" i="4" s="1"/>
  <c r="AA39" i="4" s="1"/>
  <c r="AD38" i="4"/>
  <c r="AB38" i="4"/>
  <c r="X38" i="4" a="1"/>
  <c r="X38" i="4" s="1"/>
  <c r="Y38" i="4" s="1"/>
  <c r="AA38" i="4" s="1"/>
  <c r="AD37" i="4"/>
  <c r="AB37" i="4"/>
  <c r="X37" i="4" a="1"/>
  <c r="X37" i="4" s="1"/>
  <c r="Y37" i="4" s="1"/>
  <c r="AA37" i="4" s="1"/>
  <c r="AD36" i="4"/>
  <c r="AB36" i="4"/>
  <c r="X36" i="4" a="1"/>
  <c r="X36" i="4" s="1"/>
  <c r="Y36" i="4" s="1"/>
  <c r="AA36" i="4" s="1"/>
  <c r="AD35" i="4"/>
  <c r="AB35" i="4"/>
  <c r="X35" i="4" a="1"/>
  <c r="X35" i="4" s="1"/>
  <c r="Y35" i="4" s="1"/>
  <c r="AD34" i="4"/>
  <c r="AB34" i="4"/>
  <c r="X34" i="4" a="1"/>
  <c r="X34" i="4" s="1"/>
  <c r="Y34" i="4" s="1"/>
  <c r="AA34" i="4" s="1"/>
  <c r="AD33" i="4"/>
  <c r="AB33" i="4"/>
  <c r="X33" i="4" a="1"/>
  <c r="X33" i="4" s="1"/>
  <c r="Y33" i="4" s="1"/>
  <c r="AA33" i="4" s="1"/>
  <c r="AD32" i="4"/>
  <c r="AB32" i="4"/>
  <c r="X32" i="4" a="1"/>
  <c r="X32" i="4" s="1"/>
  <c r="Y32" i="4" s="1"/>
  <c r="AA32" i="4" s="1"/>
  <c r="AD31" i="4"/>
  <c r="AB31" i="4"/>
  <c r="X31" i="4" a="1"/>
  <c r="X31" i="4" s="1"/>
  <c r="Y31" i="4" s="1"/>
  <c r="AD30" i="4"/>
  <c r="AB30" i="4"/>
  <c r="X30" i="4" a="1"/>
  <c r="X30" i="4" s="1"/>
  <c r="Y30" i="4" s="1"/>
  <c r="AD29" i="4"/>
  <c r="AB29" i="4"/>
  <c r="X29" i="4" a="1"/>
  <c r="X29" i="4" s="1"/>
  <c r="Y29" i="4" s="1"/>
  <c r="AA29" i="4" s="1"/>
  <c r="AD28" i="4"/>
  <c r="AB28" i="4"/>
  <c r="X28" i="4" a="1"/>
  <c r="X28" i="4" s="1"/>
  <c r="Y28" i="4" s="1"/>
  <c r="AA28" i="4" s="1"/>
  <c r="AD27" i="4"/>
  <c r="AB27" i="4"/>
  <c r="X27" i="4" a="1"/>
  <c r="X27" i="4" s="1"/>
  <c r="Y27" i="4" s="1"/>
  <c r="AD26" i="4"/>
  <c r="AB26" i="4"/>
  <c r="X26" i="4" a="1"/>
  <c r="X26" i="4" s="1"/>
  <c r="Y26" i="4" s="1"/>
  <c r="AD25" i="4"/>
  <c r="AB25" i="4"/>
  <c r="X25" i="4" a="1"/>
  <c r="X25" i="4" s="1"/>
  <c r="Y25" i="4" s="1"/>
  <c r="AD24" i="4"/>
  <c r="AB24" i="4"/>
  <c r="X24" i="4" a="1"/>
  <c r="X24" i="4" s="1"/>
  <c r="Y24" i="4" s="1"/>
  <c r="AD23" i="4"/>
  <c r="AB23" i="4"/>
  <c r="X23" i="4" a="1"/>
  <c r="X23" i="4" s="1"/>
  <c r="Y23" i="4" s="1"/>
  <c r="AA23" i="4" s="1"/>
  <c r="AD22" i="4"/>
  <c r="AB22" i="4"/>
  <c r="X22" i="4" a="1"/>
  <c r="X22" i="4" s="1"/>
  <c r="Y22" i="4" s="1"/>
  <c r="AA22" i="4" s="1"/>
  <c r="AD21" i="4"/>
  <c r="AB21" i="4"/>
  <c r="X21" i="4" a="1"/>
  <c r="X21" i="4" s="1"/>
  <c r="Y21" i="4" s="1"/>
  <c r="AA21" i="4" s="1"/>
  <c r="AD20" i="4"/>
  <c r="AB20" i="4"/>
  <c r="X20" i="4" a="1"/>
  <c r="X20" i="4" s="1"/>
  <c r="Y20" i="4" s="1"/>
  <c r="AD19" i="4"/>
  <c r="AB19" i="4"/>
  <c r="X19" i="4" a="1"/>
  <c r="X19" i="4" s="1"/>
  <c r="Y19" i="4" s="1"/>
  <c r="AA19" i="4" s="1"/>
  <c r="AD18" i="4"/>
  <c r="AB18" i="4"/>
  <c r="X18" i="4" a="1"/>
  <c r="X18" i="4" s="1"/>
  <c r="Y18" i="4" s="1"/>
  <c r="B18" i="4"/>
  <c r="AD17" i="4"/>
  <c r="AB17" i="4"/>
  <c r="X17" i="4" a="1"/>
  <c r="X17" i="4" s="1"/>
  <c r="Y17" i="4" s="1"/>
  <c r="AA17" i="4" s="1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AE47" i="3"/>
  <c r="AC47" i="3"/>
  <c r="Z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AD46" i="3"/>
  <c r="AB46" i="3"/>
  <c r="X46" i="3" a="1"/>
  <c r="X46" i="3" s="1"/>
  <c r="Y46" i="3" s="1"/>
  <c r="B46" i="3"/>
  <c r="AD45" i="3"/>
  <c r="AB45" i="3"/>
  <c r="X45" i="3" a="1"/>
  <c r="X45" i="3" s="1"/>
  <c r="Y45" i="3" s="1"/>
  <c r="B45" i="3"/>
  <c r="AD44" i="3"/>
  <c r="AB44" i="3"/>
  <c r="X44" i="3" a="1"/>
  <c r="X44" i="3" s="1"/>
  <c r="Y44" i="3" s="1"/>
  <c r="B44" i="3"/>
  <c r="AD43" i="3"/>
  <c r="AB43" i="3"/>
  <c r="X43" i="3" a="1"/>
  <c r="X43" i="3" s="1"/>
  <c r="Y43" i="3" s="1"/>
  <c r="AA43" i="3" s="1"/>
  <c r="B43" i="3"/>
  <c r="AD42" i="3"/>
  <c r="AB42" i="3"/>
  <c r="X42" i="3" a="1"/>
  <c r="X42" i="3" s="1"/>
  <c r="Y42" i="3" s="1"/>
  <c r="AA42" i="3" s="1"/>
  <c r="B42" i="3"/>
  <c r="AD41" i="3"/>
  <c r="AB41" i="3"/>
  <c r="X41" i="3" a="1"/>
  <c r="X41" i="3" s="1"/>
  <c r="Y41" i="3" s="1"/>
  <c r="B41" i="3"/>
  <c r="AD40" i="3"/>
  <c r="AB40" i="3"/>
  <c r="X40" i="3" a="1"/>
  <c r="X40" i="3" s="1"/>
  <c r="Y40" i="3" s="1"/>
  <c r="B40" i="3"/>
  <c r="AD39" i="3"/>
  <c r="AB39" i="3"/>
  <c r="X39" i="3" a="1"/>
  <c r="X39" i="3" s="1"/>
  <c r="Y39" i="3" s="1"/>
  <c r="AA39" i="3" s="1"/>
  <c r="B39" i="3"/>
  <c r="AD38" i="3"/>
  <c r="AB38" i="3"/>
  <c r="X38" i="3" a="1"/>
  <c r="X38" i="3" s="1"/>
  <c r="Y38" i="3" s="1"/>
  <c r="AA38" i="3" s="1"/>
  <c r="B38" i="3"/>
  <c r="AD37" i="3"/>
  <c r="AB37" i="3"/>
  <c r="X37" i="3" a="1"/>
  <c r="X37" i="3" s="1"/>
  <c r="Y37" i="3" s="1"/>
  <c r="AA37" i="3" s="1"/>
  <c r="B37" i="3"/>
  <c r="AD36" i="3"/>
  <c r="AB36" i="3"/>
  <c r="X36" i="3" a="1"/>
  <c r="X36" i="3" s="1"/>
  <c r="Y36" i="3" s="1"/>
  <c r="B36" i="3"/>
  <c r="AD35" i="3"/>
  <c r="AB35" i="3"/>
  <c r="X35" i="3" a="1"/>
  <c r="X35" i="3" s="1"/>
  <c r="Y35" i="3" s="1"/>
  <c r="B35" i="3"/>
  <c r="AD34" i="3"/>
  <c r="AB34" i="3"/>
  <c r="X34" i="3" a="1"/>
  <c r="X34" i="3" s="1"/>
  <c r="Y34" i="3" s="1"/>
  <c r="AA34" i="3" s="1"/>
  <c r="B34" i="3"/>
  <c r="AD33" i="3"/>
  <c r="AB33" i="3"/>
  <c r="X33" i="3" a="1"/>
  <c r="X33" i="3" s="1"/>
  <c r="Y33" i="3" s="1"/>
  <c r="AA33" i="3" s="1"/>
  <c r="B33" i="3"/>
  <c r="AD32" i="3"/>
  <c r="AB32" i="3"/>
  <c r="X32" i="3" a="1"/>
  <c r="X32" i="3" s="1"/>
  <c r="Y32" i="3" s="1"/>
  <c r="AA32" i="3" s="1"/>
  <c r="B32" i="3"/>
  <c r="AD31" i="3"/>
  <c r="AB31" i="3"/>
  <c r="X31" i="3" a="1"/>
  <c r="X31" i="3" s="1"/>
  <c r="Y31" i="3" s="1"/>
  <c r="B31" i="3"/>
  <c r="AD30" i="3"/>
  <c r="AB30" i="3"/>
  <c r="X30" i="3" a="1"/>
  <c r="X30" i="3" s="1"/>
  <c r="Y30" i="3" s="1"/>
  <c r="B30" i="3"/>
  <c r="AD29" i="3"/>
  <c r="AB29" i="3"/>
  <c r="X29" i="3" a="1"/>
  <c r="X29" i="3" s="1"/>
  <c r="Y29" i="3" s="1"/>
  <c r="AA29" i="3" s="1"/>
  <c r="B29" i="3"/>
  <c r="AD28" i="3"/>
  <c r="AB28" i="3"/>
  <c r="AA28" i="3"/>
  <c r="AD27" i="3"/>
  <c r="AB27" i="3"/>
  <c r="AD25" i="3"/>
  <c r="AB25" i="3"/>
  <c r="AD24" i="3"/>
  <c r="AB24" i="3"/>
  <c r="AD23" i="3"/>
  <c r="AB23" i="3"/>
  <c r="AA23" i="3"/>
  <c r="AD22" i="3"/>
  <c r="AB22" i="3"/>
  <c r="AA22" i="3"/>
  <c r="AD21" i="3"/>
  <c r="AB21" i="3"/>
  <c r="AD20" i="3"/>
  <c r="AB20" i="3"/>
  <c r="X20" i="3" a="1"/>
  <c r="X20" i="3" s="1"/>
  <c r="Y20" i="3" s="1"/>
  <c r="AD19" i="3"/>
  <c r="AB19" i="3"/>
  <c r="X19" i="3" a="1"/>
  <c r="X19" i="3" s="1"/>
  <c r="Y19" i="3" s="1"/>
  <c r="AA19" i="3" s="1"/>
  <c r="AD18" i="3"/>
  <c r="AB18" i="3"/>
  <c r="X18" i="3" a="1"/>
  <c r="X18" i="3" s="1"/>
  <c r="Y18" i="3" s="1"/>
  <c r="B18" i="3"/>
  <c r="AD17" i="3"/>
  <c r="AB17" i="3"/>
  <c r="X17" i="3" a="1"/>
  <c r="X17" i="3" s="1"/>
  <c r="Y17" i="3" s="1"/>
  <c r="AA17" i="3" s="1"/>
  <c r="B17" i="3"/>
  <c r="AD16" i="3"/>
  <c r="AB16" i="3"/>
  <c r="X16" i="3" a="1"/>
  <c r="X16" i="3" s="1"/>
  <c r="Y16" i="3" s="1"/>
  <c r="B16" i="3"/>
  <c r="AD15" i="3"/>
  <c r="AB15" i="3"/>
  <c r="X15" i="3" a="1"/>
  <c r="X15" i="3" s="1"/>
  <c r="B15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AE48" i="2"/>
  <c r="AC48" i="2"/>
  <c r="Z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D47" i="2"/>
  <c r="AB47" i="2"/>
  <c r="X47" i="2" a="1"/>
  <c r="X47" i="2" s="1"/>
  <c r="Y47" i="2" s="1"/>
  <c r="AA47" i="2" s="1"/>
  <c r="B47" i="2"/>
  <c r="AD46" i="2"/>
  <c r="AB46" i="2"/>
  <c r="X46" i="2" a="1"/>
  <c r="X46" i="2" s="1"/>
  <c r="Y46" i="2" s="1"/>
  <c r="B46" i="2"/>
  <c r="AD45" i="2"/>
  <c r="AB45" i="2"/>
  <c r="X45" i="2" a="1"/>
  <c r="X45" i="2" s="1"/>
  <c r="Y45" i="2" s="1"/>
  <c r="B45" i="2"/>
  <c r="AD44" i="2"/>
  <c r="AB44" i="2"/>
  <c r="X44" i="2" a="1"/>
  <c r="X44" i="2" s="1"/>
  <c r="Y44" i="2" s="1"/>
  <c r="AA44" i="2" s="1"/>
  <c r="B44" i="2"/>
  <c r="AD43" i="2"/>
  <c r="AB43" i="2"/>
  <c r="X43" i="2" a="1"/>
  <c r="X43" i="2" s="1"/>
  <c r="Y43" i="2" s="1"/>
  <c r="B43" i="2"/>
  <c r="AD42" i="2"/>
  <c r="AB42" i="2"/>
  <c r="X42" i="2" a="1"/>
  <c r="X42" i="2" s="1"/>
  <c r="Y42" i="2" s="1"/>
  <c r="AA42" i="2" s="1"/>
  <c r="B42" i="2"/>
  <c r="AD41" i="2"/>
  <c r="AB41" i="2"/>
  <c r="X41" i="2" a="1"/>
  <c r="X41" i="2" s="1"/>
  <c r="Y41" i="2" s="1"/>
  <c r="B41" i="2"/>
  <c r="AD40" i="2"/>
  <c r="AB40" i="2"/>
  <c r="X40" i="2" a="1"/>
  <c r="X40" i="2" s="1"/>
  <c r="Y40" i="2" s="1"/>
  <c r="B40" i="2"/>
  <c r="AD39" i="2"/>
  <c r="AB39" i="2"/>
  <c r="X39" i="2" a="1"/>
  <c r="X39" i="2" s="1"/>
  <c r="Y39" i="2" s="1"/>
  <c r="AA39" i="2" s="1"/>
  <c r="B39" i="2"/>
  <c r="AD38" i="2"/>
  <c r="AB38" i="2"/>
  <c r="X38" i="2" a="1"/>
  <c r="X38" i="2" s="1"/>
  <c r="Y38" i="2" s="1"/>
  <c r="AA38" i="2" s="1"/>
  <c r="B38" i="2"/>
  <c r="AD37" i="2"/>
  <c r="AB37" i="2"/>
  <c r="X37" i="2" a="1"/>
  <c r="X37" i="2" s="1"/>
  <c r="Y37" i="2" s="1"/>
  <c r="AA37" i="2" s="1"/>
  <c r="B37" i="2"/>
  <c r="AD36" i="2"/>
  <c r="AB36" i="2"/>
  <c r="X36" i="2" a="1"/>
  <c r="X36" i="2" s="1"/>
  <c r="Y36" i="2" s="1"/>
  <c r="B36" i="2"/>
  <c r="AD35" i="2"/>
  <c r="AB35" i="2"/>
  <c r="X35" i="2" a="1"/>
  <c r="X35" i="2" s="1"/>
  <c r="Y35" i="2" s="1"/>
  <c r="B35" i="2"/>
  <c r="AD34" i="2"/>
  <c r="AB34" i="2"/>
  <c r="X34" i="2" a="1"/>
  <c r="X34" i="2" s="1"/>
  <c r="Y34" i="2" s="1"/>
  <c r="AA34" i="2" s="1"/>
  <c r="B34" i="2"/>
  <c r="AD33" i="2"/>
  <c r="AB33" i="2"/>
  <c r="X33" i="2" a="1"/>
  <c r="X33" i="2" s="1"/>
  <c r="Y33" i="2" s="1"/>
  <c r="AA33" i="2" s="1"/>
  <c r="B33" i="2"/>
  <c r="AD32" i="2"/>
  <c r="AB32" i="2"/>
  <c r="X32" i="2" a="1"/>
  <c r="X32" i="2" s="1"/>
  <c r="Y32" i="2" s="1"/>
  <c r="B32" i="2"/>
  <c r="AD31" i="2"/>
  <c r="AB31" i="2"/>
  <c r="X31" i="2" a="1"/>
  <c r="X31" i="2" s="1"/>
  <c r="Y31" i="2" s="1"/>
  <c r="B31" i="2"/>
  <c r="AD30" i="2"/>
  <c r="AB30" i="2"/>
  <c r="X30" i="2" a="1"/>
  <c r="X30" i="2" s="1"/>
  <c r="Y30" i="2" s="1"/>
  <c r="B30" i="2"/>
  <c r="AD29" i="2"/>
  <c r="AB29" i="2"/>
  <c r="X29" i="2" a="1"/>
  <c r="X29" i="2" s="1"/>
  <c r="Y29" i="2" s="1"/>
  <c r="AA29" i="2" s="1"/>
  <c r="B29" i="2"/>
  <c r="AD28" i="2"/>
  <c r="AB28" i="2"/>
  <c r="X28" i="2" a="1"/>
  <c r="X28" i="2" s="1"/>
  <c r="Y28" i="2" s="1"/>
  <c r="B28" i="2"/>
  <c r="AD27" i="2"/>
  <c r="AB27" i="2"/>
  <c r="X27" i="2" a="1"/>
  <c r="X27" i="2" s="1"/>
  <c r="Y27" i="2" s="1"/>
  <c r="B27" i="2"/>
  <c r="AD26" i="2"/>
  <c r="AB26" i="2"/>
  <c r="X26" i="2" a="1"/>
  <c r="X26" i="2" s="1"/>
  <c r="Y26" i="2" s="1"/>
  <c r="AA26" i="2" s="1"/>
  <c r="AD25" i="2"/>
  <c r="AB25" i="2"/>
  <c r="X25" i="2" a="1"/>
  <c r="X25" i="2" s="1"/>
  <c r="Y25" i="2" s="1"/>
  <c r="AD24" i="2"/>
  <c r="AB24" i="2"/>
  <c r="X24" i="2" a="1"/>
  <c r="X24" i="2" s="1"/>
  <c r="Y24" i="2" s="1"/>
  <c r="AD22" i="2"/>
  <c r="AB22" i="2"/>
  <c r="X22" i="2" a="1"/>
  <c r="X22" i="2" s="1"/>
  <c r="Y22" i="2" s="1"/>
  <c r="AA22" i="2" s="1"/>
  <c r="AD21" i="2"/>
  <c r="AB21" i="2"/>
  <c r="X21" i="2" a="1"/>
  <c r="X21" i="2" s="1"/>
  <c r="Y21" i="2" s="1"/>
  <c r="AD20" i="2"/>
  <c r="AB20" i="2"/>
  <c r="X20" i="2" a="1"/>
  <c r="X20" i="2" s="1"/>
  <c r="Y20" i="2" s="1"/>
  <c r="AA20" i="2" s="1"/>
  <c r="AD19" i="2"/>
  <c r="AB19" i="2"/>
  <c r="X19" i="2" a="1"/>
  <c r="X19" i="2" s="1"/>
  <c r="Y19" i="2" s="1"/>
  <c r="B19" i="2"/>
  <c r="AD18" i="2"/>
  <c r="AB18" i="2"/>
  <c r="X18" i="2" a="1"/>
  <c r="X18" i="2" s="1"/>
  <c r="Y18" i="2" s="1"/>
  <c r="B18" i="2"/>
  <c r="AD17" i="2"/>
  <c r="AB17" i="2"/>
  <c r="X17" i="2" a="1"/>
  <c r="X17" i="2" s="1"/>
  <c r="Y17" i="2" s="1"/>
  <c r="B17" i="2"/>
  <c r="AD16" i="2"/>
  <c r="AB16" i="2"/>
  <c r="X16" i="2" a="1"/>
  <c r="X16" i="2" s="1"/>
  <c r="Y16" i="2" s="1"/>
  <c r="B16" i="2"/>
  <c r="AD15" i="2"/>
  <c r="AB15" i="2"/>
  <c r="X15" i="2" a="1"/>
  <c r="X15" i="2" s="1"/>
  <c r="B15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AE49" i="1"/>
  <c r="AC49" i="1"/>
  <c r="Z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D48" i="1"/>
  <c r="AB48" i="1"/>
  <c r="X48" i="1" a="1"/>
  <c r="X48" i="1" s="1"/>
  <c r="Y48" i="1" s="1"/>
  <c r="B48" i="1"/>
  <c r="AD47" i="1"/>
  <c r="AB47" i="1"/>
  <c r="X47" i="1" a="1"/>
  <c r="X47" i="1" s="1"/>
  <c r="Y47" i="1" s="1"/>
  <c r="AA47" i="1" s="1"/>
  <c r="B47" i="1"/>
  <c r="AD46" i="1"/>
  <c r="AB46" i="1"/>
  <c r="X46" i="1" a="1"/>
  <c r="X46" i="1" s="1"/>
  <c r="Y46" i="1" s="1"/>
  <c r="B46" i="1"/>
  <c r="AD45" i="1"/>
  <c r="AB45" i="1"/>
  <c r="X45" i="1" a="1"/>
  <c r="X45" i="1" s="1"/>
  <c r="Y45" i="1" s="1"/>
  <c r="B45" i="1"/>
  <c r="AD44" i="1"/>
  <c r="AB44" i="1"/>
  <c r="X44" i="1" a="1"/>
  <c r="X44" i="1" s="1"/>
  <c r="Y44" i="1" s="1"/>
  <c r="AA44" i="1" s="1"/>
  <c r="B44" i="1"/>
  <c r="AD43" i="1"/>
  <c r="AB43" i="1"/>
  <c r="X43" i="1" a="1"/>
  <c r="X43" i="1" s="1"/>
  <c r="Y43" i="1" s="1"/>
  <c r="B43" i="1"/>
  <c r="AD42" i="1"/>
  <c r="AB42" i="1"/>
  <c r="X42" i="1" a="1"/>
  <c r="X42" i="1" s="1"/>
  <c r="Y42" i="1" s="1"/>
  <c r="AA42" i="1" s="1"/>
  <c r="B42" i="1"/>
  <c r="AD41" i="1"/>
  <c r="AB41" i="1"/>
  <c r="X41" i="1" a="1"/>
  <c r="X41" i="1" s="1"/>
  <c r="Y41" i="1" s="1"/>
  <c r="B41" i="1"/>
  <c r="AD40" i="1"/>
  <c r="AB40" i="1"/>
  <c r="X40" i="1" a="1"/>
  <c r="X40" i="1" s="1"/>
  <c r="Y40" i="1" s="1"/>
  <c r="B40" i="1"/>
  <c r="AD39" i="1"/>
  <c r="AB39" i="1"/>
  <c r="X39" i="1" a="1"/>
  <c r="X39" i="1" s="1"/>
  <c r="Y39" i="1" s="1"/>
  <c r="B39" i="1"/>
  <c r="AD38" i="1"/>
  <c r="AB38" i="1"/>
  <c r="X38" i="1" a="1"/>
  <c r="X38" i="1" s="1"/>
  <c r="Y38" i="1" s="1"/>
  <c r="B38" i="1"/>
  <c r="AD37" i="1"/>
  <c r="AB37" i="1"/>
  <c r="X37" i="1" a="1"/>
  <c r="X37" i="1" s="1"/>
  <c r="Y37" i="1" s="1"/>
  <c r="B37" i="1"/>
  <c r="AD36" i="1"/>
  <c r="AB36" i="1"/>
  <c r="X36" i="1" a="1"/>
  <c r="X36" i="1" s="1"/>
  <c r="Y36" i="1" s="1"/>
  <c r="B36" i="1"/>
  <c r="AD35" i="1"/>
  <c r="AB35" i="1"/>
  <c r="X35" i="1" a="1"/>
  <c r="X35" i="1" s="1"/>
  <c r="Y35" i="1" s="1"/>
  <c r="B35" i="1"/>
  <c r="AD34" i="1"/>
  <c r="AB34" i="1"/>
  <c r="X34" i="1" a="1"/>
  <c r="X34" i="1" s="1"/>
  <c r="Y34" i="1" s="1"/>
  <c r="B34" i="1"/>
  <c r="AD33" i="1"/>
  <c r="AB33" i="1"/>
  <c r="X33" i="1" a="1"/>
  <c r="X33" i="1" s="1"/>
  <c r="Y33" i="1" s="1"/>
  <c r="B33" i="1"/>
  <c r="AD32" i="1"/>
  <c r="AB32" i="1"/>
  <c r="X32" i="1" a="1"/>
  <c r="X32" i="1" s="1"/>
  <c r="Y32" i="1" s="1"/>
  <c r="B32" i="1"/>
  <c r="AD31" i="1"/>
  <c r="AB31" i="1"/>
  <c r="X31" i="1" a="1"/>
  <c r="X31" i="1" s="1"/>
  <c r="Y31" i="1" s="1"/>
  <c r="B31" i="1"/>
  <c r="AD30" i="1"/>
  <c r="AB30" i="1"/>
  <c r="X30" i="1" a="1"/>
  <c r="X30" i="1" s="1"/>
  <c r="Y30" i="1" s="1"/>
  <c r="B30" i="1"/>
  <c r="AD29" i="1"/>
  <c r="AB29" i="1"/>
  <c r="X29" i="1" a="1"/>
  <c r="X29" i="1" s="1"/>
  <c r="Y29" i="1" s="1"/>
  <c r="B29" i="1"/>
  <c r="AD28" i="1"/>
  <c r="AB28" i="1"/>
  <c r="X28" i="1" a="1"/>
  <c r="X28" i="1" s="1"/>
  <c r="Y28" i="1" s="1"/>
  <c r="AA28" i="1" s="1"/>
  <c r="B28" i="1"/>
  <c r="AD27" i="1"/>
  <c r="AB27" i="1"/>
  <c r="X27" i="1" a="1"/>
  <c r="X27" i="1" s="1"/>
  <c r="Y27" i="1" s="1"/>
  <c r="AA27" i="1" s="1"/>
  <c r="AD24" i="1"/>
  <c r="AB24" i="1"/>
  <c r="X24" i="1" a="1"/>
  <c r="X24" i="1" s="1"/>
  <c r="Y24" i="1" s="1"/>
  <c r="AD22" i="1"/>
  <c r="AB22" i="1"/>
  <c r="X22" i="1" a="1"/>
  <c r="X22" i="1" s="1"/>
  <c r="Y22" i="1" s="1"/>
  <c r="AA22" i="1" s="1"/>
  <c r="AD21" i="1"/>
  <c r="AB21" i="1"/>
  <c r="X21" i="1" a="1"/>
  <c r="X21" i="1" s="1"/>
  <c r="Y21" i="1" s="1"/>
  <c r="AD20" i="1"/>
  <c r="AB20" i="1"/>
  <c r="X20" i="1" a="1"/>
  <c r="X20" i="1" s="1"/>
  <c r="Y20" i="1" s="1"/>
  <c r="AA20" i="1" s="1"/>
  <c r="AD19" i="1"/>
  <c r="AB19" i="1"/>
  <c r="X19" i="1" a="1"/>
  <c r="X19" i="1" s="1"/>
  <c r="Y19" i="1" s="1"/>
  <c r="AA19" i="1" s="1"/>
  <c r="B19" i="1"/>
  <c r="AD18" i="1"/>
  <c r="AB18" i="1"/>
  <c r="X18" i="1" a="1"/>
  <c r="X18" i="1" s="1"/>
  <c r="Y18" i="1" s="1"/>
  <c r="B18" i="1"/>
  <c r="AD17" i="1"/>
  <c r="AB17" i="1"/>
  <c r="X17" i="1" a="1"/>
  <c r="X17" i="1" s="1"/>
  <c r="Y17" i="1" s="1"/>
  <c r="B17" i="1"/>
  <c r="AD16" i="1"/>
  <c r="AB16" i="1"/>
  <c r="X16" i="1" a="1"/>
  <c r="X16" i="1" s="1"/>
  <c r="Y16" i="1" s="1"/>
  <c r="B16" i="1"/>
  <c r="AD15" i="1"/>
  <c r="AB15" i="1"/>
  <c r="X15" i="1" a="1"/>
  <c r="X15" i="1" s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AA21" i="11" l="1"/>
  <c r="AA32" i="11"/>
  <c r="AA37" i="11"/>
  <c r="AA42" i="11"/>
  <c r="AA26" i="6"/>
  <c r="AA32" i="6"/>
  <c r="AA42" i="6"/>
  <c r="AA34" i="5"/>
  <c r="AA39" i="5"/>
  <c r="AA44" i="5"/>
  <c r="AA43" i="2"/>
  <c r="AA17" i="2"/>
  <c r="AA40" i="2"/>
  <c r="AA30" i="2"/>
  <c r="AA35" i="2"/>
  <c r="AA19" i="2"/>
  <c r="AA26" i="20"/>
  <c r="AA25" i="17"/>
  <c r="AA16" i="6"/>
  <c r="AA23" i="6"/>
  <c r="AA29" i="6"/>
  <c r="AA34" i="6"/>
  <c r="AA39" i="6"/>
  <c r="AA44" i="6"/>
  <c r="AA49" i="6"/>
  <c r="AA24" i="6"/>
  <c r="AA35" i="6"/>
  <c r="AA40" i="6"/>
  <c r="AA45" i="6"/>
  <c r="AA24" i="3"/>
  <c r="AA16" i="3"/>
  <c r="AA25" i="3"/>
  <c r="AA21" i="3"/>
  <c r="AA20" i="3"/>
  <c r="AA31" i="3"/>
  <c r="AA36" i="3"/>
  <c r="AA41" i="3"/>
  <c r="AA46" i="3"/>
  <c r="G47" i="7"/>
  <c r="AA19" i="21"/>
  <c r="G47" i="21"/>
  <c r="AA16" i="21"/>
  <c r="AA25" i="21"/>
  <c r="AA30" i="21"/>
  <c r="AA35" i="21"/>
  <c r="AA40" i="21"/>
  <c r="AA45" i="21"/>
  <c r="AA26" i="21"/>
  <c r="AA36" i="21"/>
  <c r="AA34" i="21"/>
  <c r="AA18" i="21"/>
  <c r="AA32" i="21"/>
  <c r="AA46" i="21"/>
  <c r="AB47" i="21"/>
  <c r="AD47" i="21"/>
  <c r="AA28" i="21"/>
  <c r="AA28" i="20"/>
  <c r="AA33" i="20"/>
  <c r="AA22" i="20"/>
  <c r="AA23" i="20"/>
  <c r="AA18" i="20"/>
  <c r="AA17" i="20"/>
  <c r="AB47" i="20"/>
  <c r="AD47" i="20"/>
  <c r="AA38" i="20"/>
  <c r="AA43" i="20"/>
  <c r="G47" i="20"/>
  <c r="AA30" i="19"/>
  <c r="AA29" i="19"/>
  <c r="AA34" i="19"/>
  <c r="AA16" i="19"/>
  <c r="AA26" i="19"/>
  <c r="AA39" i="19"/>
  <c r="AA27" i="19"/>
  <c r="AB47" i="19"/>
  <c r="AD47" i="19"/>
  <c r="G47" i="19"/>
  <c r="AB47" i="18"/>
  <c r="AD47" i="18"/>
  <c r="AA31" i="18"/>
  <c r="AA32" i="18"/>
  <c r="AA27" i="18"/>
  <c r="AA28" i="18"/>
  <c r="G47" i="18"/>
  <c r="AA31" i="17"/>
  <c r="AA23" i="17"/>
  <c r="AA16" i="17"/>
  <c r="AB47" i="17"/>
  <c r="AD47" i="17"/>
  <c r="AA43" i="17"/>
  <c r="AA19" i="17"/>
  <c r="G47" i="17"/>
  <c r="AA22" i="16"/>
  <c r="AA17" i="16"/>
  <c r="AA29" i="16"/>
  <c r="AD47" i="16"/>
  <c r="AA30" i="16"/>
  <c r="AA27" i="16"/>
  <c r="AA36" i="16"/>
  <c r="AA46" i="16"/>
  <c r="AA19" i="16"/>
  <c r="AB47" i="16"/>
  <c r="AA16" i="16"/>
  <c r="AA26" i="16"/>
  <c r="AA34" i="16"/>
  <c r="G47" i="16"/>
  <c r="AA39" i="16"/>
  <c r="AA25" i="15"/>
  <c r="AA30" i="15"/>
  <c r="AA35" i="15"/>
  <c r="AA40" i="15"/>
  <c r="AA45" i="15"/>
  <c r="AA26" i="15"/>
  <c r="AA31" i="15"/>
  <c r="AA36" i="15"/>
  <c r="AA21" i="15"/>
  <c r="AA16" i="15"/>
  <c r="AA41" i="15"/>
  <c r="AA46" i="15"/>
  <c r="AB47" i="15"/>
  <c r="AD47" i="15"/>
  <c r="G47" i="15"/>
  <c r="AA21" i="14"/>
  <c r="AA16" i="14"/>
  <c r="AB47" i="14"/>
  <c r="AA22" i="14"/>
  <c r="AA32" i="14"/>
  <c r="AA27" i="14"/>
  <c r="G47" i="14"/>
  <c r="AD47" i="14"/>
  <c r="AA17" i="14"/>
  <c r="AA22" i="13"/>
  <c r="AA17" i="13"/>
  <c r="AB47" i="13"/>
  <c r="AD47" i="13"/>
  <c r="AA32" i="13"/>
  <c r="AA37" i="13"/>
  <c r="AA42" i="13"/>
  <c r="G47" i="13"/>
  <c r="AA17" i="12"/>
  <c r="AB47" i="12"/>
  <c r="AD47" i="12"/>
  <c r="AA32" i="12"/>
  <c r="AA42" i="12"/>
  <c r="AA18" i="12"/>
  <c r="AA23" i="12"/>
  <c r="AA28" i="12"/>
  <c r="AA33" i="12"/>
  <c r="G47" i="12"/>
  <c r="AA23" i="11"/>
  <c r="AA18" i="11"/>
  <c r="AA16" i="11"/>
  <c r="AA29" i="11"/>
  <c r="AA34" i="11"/>
  <c r="AA39" i="11"/>
  <c r="AA17" i="11"/>
  <c r="AA22" i="11"/>
  <c r="AA33" i="11"/>
  <c r="AA47" i="11"/>
  <c r="AA44" i="11"/>
  <c r="AB48" i="11"/>
  <c r="AA45" i="11"/>
  <c r="AD48" i="11"/>
  <c r="G48" i="11"/>
  <c r="AA18" i="9"/>
  <c r="AA22" i="9"/>
  <c r="AA23" i="9"/>
  <c r="AA26" i="9"/>
  <c r="AA16" i="9"/>
  <c r="AA21" i="9"/>
  <c r="AA31" i="9"/>
  <c r="G47" i="9"/>
  <c r="AB47" i="9"/>
  <c r="AD47" i="9"/>
  <c r="AA26" i="8"/>
  <c r="AA31" i="8"/>
  <c r="AA36" i="8"/>
  <c r="AA46" i="8"/>
  <c r="AA20" i="8"/>
  <c r="AA16" i="8"/>
  <c r="AA27" i="8"/>
  <c r="AA32" i="8"/>
  <c r="AA37" i="8"/>
  <c r="AA21" i="8"/>
  <c r="AB48" i="8"/>
  <c r="AA28" i="8"/>
  <c r="AA29" i="8"/>
  <c r="AD48" i="8"/>
  <c r="AA47" i="8"/>
  <c r="G48" i="8"/>
  <c r="AA22" i="7"/>
  <c r="AA32" i="7"/>
  <c r="AA16" i="7"/>
  <c r="AA27" i="7"/>
  <c r="AB47" i="7"/>
  <c r="AD47" i="7"/>
  <c r="AA29" i="7"/>
  <c r="AA17" i="7"/>
  <c r="AB50" i="6"/>
  <c r="AA25" i="5"/>
  <c r="AA17" i="5"/>
  <c r="AA16" i="5"/>
  <c r="AA17" i="6"/>
  <c r="AA37" i="6"/>
  <c r="AD50" i="6"/>
  <c r="G50" i="6"/>
  <c r="AA26" i="5"/>
  <c r="AA20" i="5"/>
  <c r="AA27" i="5"/>
  <c r="AA32" i="5"/>
  <c r="AA37" i="5"/>
  <c r="G49" i="5"/>
  <c r="AB49" i="5"/>
  <c r="AD49" i="5"/>
  <c r="AA18" i="4"/>
  <c r="AA20" i="4"/>
  <c r="AA25" i="4"/>
  <c r="AA35" i="4"/>
  <c r="AA40" i="4"/>
  <c r="AA45" i="4"/>
  <c r="AA30" i="4"/>
  <c r="AA18" i="3"/>
  <c r="AA30" i="3"/>
  <c r="AA35" i="3"/>
  <c r="AA40" i="3"/>
  <c r="AA45" i="3"/>
  <c r="AA24" i="2"/>
  <c r="AA18" i="2"/>
  <c r="AA31" i="2"/>
  <c r="AA24" i="1"/>
  <c r="AA36" i="2"/>
  <c r="AA28" i="2"/>
  <c r="AA41" i="2"/>
  <c r="AA16" i="2"/>
  <c r="AA21" i="2"/>
  <c r="AA27" i="2"/>
  <c r="AA32" i="2"/>
  <c r="AA31" i="1"/>
  <c r="AA41" i="1"/>
  <c r="AA46" i="1"/>
  <c r="G48" i="2"/>
  <c r="AB48" i="2"/>
  <c r="AD48" i="2"/>
  <c r="AB47" i="3"/>
  <c r="AD47" i="3"/>
  <c r="G47" i="3"/>
  <c r="AA27" i="4"/>
  <c r="G47" i="4"/>
  <c r="AB47" i="4"/>
  <c r="AD47" i="4"/>
  <c r="AA26" i="4"/>
  <c r="AA31" i="4"/>
  <c r="AB49" i="1"/>
  <c r="AD49" i="1"/>
  <c r="AA34" i="1"/>
  <c r="G49" i="1"/>
  <c r="AA24" i="21"/>
  <c r="Y15" i="21"/>
  <c r="X47" i="21"/>
  <c r="AA21" i="21"/>
  <c r="AA44" i="21"/>
  <c r="AA27" i="21"/>
  <c r="AA31" i="21"/>
  <c r="AA41" i="21"/>
  <c r="AA24" i="20"/>
  <c r="Y15" i="20"/>
  <c r="X47" i="20"/>
  <c r="AA21" i="20"/>
  <c r="AA27" i="20"/>
  <c r="AA44" i="20"/>
  <c r="AA41" i="20"/>
  <c r="AA24" i="19"/>
  <c r="Y15" i="19"/>
  <c r="X47" i="19"/>
  <c r="AA38" i="19"/>
  <c r="AA21" i="19"/>
  <c r="AA44" i="19"/>
  <c r="AA18" i="19"/>
  <c r="AA41" i="19"/>
  <c r="AA24" i="18"/>
  <c r="Y15" i="18"/>
  <c r="X47" i="18"/>
  <c r="AA21" i="18"/>
  <c r="AA44" i="18"/>
  <c r="AA38" i="18"/>
  <c r="AA18" i="18"/>
  <c r="AA41" i="18"/>
  <c r="AA27" i="17"/>
  <c r="AA18" i="17"/>
  <c r="AA38" i="17"/>
  <c r="AA24" i="17"/>
  <c r="AA35" i="17"/>
  <c r="Y15" i="17"/>
  <c r="Y47" i="17" s="1"/>
  <c r="X47" i="17"/>
  <c r="AA44" i="17"/>
  <c r="AA15" i="17"/>
  <c r="AA21" i="16"/>
  <c r="AA44" i="16"/>
  <c r="AA24" i="16"/>
  <c r="Y15" i="16"/>
  <c r="X47" i="16"/>
  <c r="AA38" i="16"/>
  <c r="AA43" i="16"/>
  <c r="AA40" i="16"/>
  <c r="AA20" i="16"/>
  <c r="AA18" i="16"/>
  <c r="AA23" i="16"/>
  <c r="AA41" i="16"/>
  <c r="AA27" i="15"/>
  <c r="AA24" i="15"/>
  <c r="Y15" i="15"/>
  <c r="X47" i="15"/>
  <c r="AA44" i="15"/>
  <c r="AA44" i="14"/>
  <c r="Y15" i="14"/>
  <c r="X47" i="14"/>
  <c r="AA38" i="14"/>
  <c r="AA24" i="14"/>
  <c r="AA27" i="13"/>
  <c r="AA18" i="13"/>
  <c r="Y15" i="13"/>
  <c r="X47" i="13"/>
  <c r="AA24" i="13"/>
  <c r="AA44" i="13"/>
  <c r="AA38" i="13"/>
  <c r="AA24" i="12"/>
  <c r="Y15" i="12"/>
  <c r="X47" i="12"/>
  <c r="AA44" i="12"/>
  <c r="AA21" i="12"/>
  <c r="AA27" i="12"/>
  <c r="AA41" i="12"/>
  <c r="AA30" i="11"/>
  <c r="Y15" i="11"/>
  <c r="X48" i="11"/>
  <c r="AA28" i="11"/>
  <c r="AA27" i="11"/>
  <c r="AA27" i="9"/>
  <c r="AA24" i="9"/>
  <c r="AA15" i="9"/>
  <c r="Y47" i="9"/>
  <c r="AA44" i="9"/>
  <c r="AA46" i="9"/>
  <c r="X47" i="9"/>
  <c r="Y15" i="8"/>
  <c r="X48" i="8"/>
  <c r="AA39" i="8"/>
  <c r="AA45" i="8"/>
  <c r="AA25" i="8"/>
  <c r="AA41" i="8"/>
  <c r="AA18" i="8"/>
  <c r="AA44" i="8"/>
  <c r="AA42" i="8"/>
  <c r="AA21" i="7"/>
  <c r="AA44" i="7"/>
  <c r="AA24" i="7"/>
  <c r="Y15" i="7"/>
  <c r="X47" i="7"/>
  <c r="AA38" i="7"/>
  <c r="AA18" i="7"/>
  <c r="AA41" i="7"/>
  <c r="AA30" i="6"/>
  <c r="AA27" i="6"/>
  <c r="X50" i="6"/>
  <c r="Y15" i="6"/>
  <c r="AA47" i="6"/>
  <c r="AA18" i="5"/>
  <c r="AA40" i="5"/>
  <c r="AA29" i="5"/>
  <c r="X49" i="5"/>
  <c r="AA46" i="5"/>
  <c r="AA21" i="5"/>
  <c r="AA43" i="5"/>
  <c r="AA24" i="4"/>
  <c r="Y15" i="4"/>
  <c r="X47" i="4"/>
  <c r="AA44" i="4"/>
  <c r="Y15" i="3"/>
  <c r="X47" i="3"/>
  <c r="AA44" i="3"/>
  <c r="AA27" i="3"/>
  <c r="AA25" i="2"/>
  <c r="Y15" i="2"/>
  <c r="X48" i="2"/>
  <c r="AA45" i="2"/>
  <c r="AA46" i="2"/>
  <c r="AA30" i="1"/>
  <c r="AA35" i="1"/>
  <c r="X49" i="1"/>
  <c r="Y15" i="1"/>
  <c r="AA45" i="1"/>
  <c r="AA36" i="1"/>
  <c r="AA37" i="1"/>
  <c r="AA33" i="1"/>
  <c r="AA21" i="1"/>
  <c r="AA38" i="1"/>
  <c r="AA43" i="1"/>
  <c r="AA32" i="1"/>
  <c r="AA29" i="1"/>
  <c r="AA39" i="1"/>
  <c r="AA40" i="1"/>
  <c r="AA16" i="1"/>
  <c r="AA17" i="1"/>
  <c r="AA18" i="1"/>
  <c r="AA48" i="1"/>
  <c r="AA47" i="17" l="1"/>
  <c r="AA15" i="21"/>
  <c r="AA47" i="21" s="1"/>
  <c r="Y47" i="21"/>
  <c r="AA15" i="20"/>
  <c r="AA47" i="20" s="1"/>
  <c r="Y47" i="20"/>
  <c r="AA15" i="19"/>
  <c r="AA47" i="19" s="1"/>
  <c r="Y47" i="19"/>
  <c r="AA15" i="18"/>
  <c r="AA47" i="18" s="1"/>
  <c r="Y47" i="18"/>
  <c r="AA15" i="16"/>
  <c r="AA47" i="16" s="1"/>
  <c r="Y47" i="16"/>
  <c r="AA15" i="15"/>
  <c r="AA47" i="15" s="1"/>
  <c r="Y47" i="15"/>
  <c r="AA15" i="14"/>
  <c r="AA47" i="14" s="1"/>
  <c r="Y47" i="14"/>
  <c r="AA15" i="13"/>
  <c r="AA47" i="13" s="1"/>
  <c r="Y47" i="13"/>
  <c r="AA15" i="12"/>
  <c r="AA47" i="12" s="1"/>
  <c r="Y47" i="12"/>
  <c r="AA15" i="11"/>
  <c r="AA48" i="11" s="1"/>
  <c r="Y48" i="11"/>
  <c r="AA47" i="9"/>
  <c r="AA15" i="8"/>
  <c r="AA48" i="8" s="1"/>
  <c r="Y48" i="8"/>
  <c r="AA15" i="7"/>
  <c r="AA47" i="7" s="1"/>
  <c r="Y47" i="7"/>
  <c r="Y50" i="6"/>
  <c r="AA15" i="6"/>
  <c r="AA50" i="6" s="1"/>
  <c r="AA15" i="5"/>
  <c r="AA49" i="5" s="1"/>
  <c r="Y49" i="5"/>
  <c r="AA15" i="4"/>
  <c r="AA47" i="4" s="1"/>
  <c r="Y47" i="4"/>
  <c r="Y47" i="3"/>
  <c r="AA15" i="3"/>
  <c r="AA47" i="3" s="1"/>
  <c r="AA15" i="2"/>
  <c r="AA48" i="2" s="1"/>
  <c r="Y48" i="2"/>
  <c r="AA15" i="1"/>
  <c r="AA49" i="1" s="1"/>
  <c r="Y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<sst xmlns="http://schemas.openxmlformats.org/spreadsheetml/2006/main" count="2380" uniqueCount="303">
  <si>
    <t>PROFESSIONAL MAINTENANCE GROUP, INC.</t>
  </si>
  <si>
    <t xml:space="preserve">ATTENDANCE SUMMARY FORM </t>
  </si>
  <si>
    <t>OPS-FRM009-01-10012025</t>
  </si>
  <si>
    <t>PROJECT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</si>
  <si>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</si>
  <si>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</si>
  <si>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</si>
  <si>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</si>
  <si>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</si>
  <si>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</si>
  <si>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</si>
  <si>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</si>
  <si>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</si>
  <si>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</si>
  <si>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</si>
  <si>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</si>
  <si>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</si>
  <si>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</si>
  <si>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</si>
  <si>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</si>
  <si>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</si>
  <si>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</si>
  <si>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</si>
  <si>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</si>
  <si>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</si>
  <si>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SUPERVISOR</t>
  </si>
  <si>
    <t>AM SHIFT</t>
  </si>
  <si>
    <t>D</t>
  </si>
  <si>
    <t>PM SHIFT</t>
  </si>
  <si>
    <t>HOUSEKEEPING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</si>
  <si>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</si>
  <si>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</si>
  <si>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</si>
  <si>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</si>
  <si>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</si>
  <si>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</si>
  <si>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</si>
  <si>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</si>
  <si>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</si>
  <si>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</si>
  <si>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</si>
  <si>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</si>
  <si>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</si>
  <si>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</si>
  <si>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</si>
  <si>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</si>
  <si>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</si>
  <si>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</si>
  <si>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</si>
  <si>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CEPE, JEONALD</t>
  </si>
  <si>
    <t>TOBIAS, CRISELVA</t>
  </si>
  <si>
    <t>BANTILAN, DAVE</t>
  </si>
  <si>
    <t>OFQUERIA, RIZABEL</t>
  </si>
  <si>
    <t>YONGOD JAN VINCENT</t>
  </si>
  <si>
    <t>4am - 1pm</t>
  </si>
  <si>
    <t>5am - 2pm</t>
  </si>
  <si>
    <t>1:30pm-10:30pm</t>
  </si>
  <si>
    <t>2;30pm-11:30pm</t>
  </si>
  <si>
    <t>TRINIDAD, JIMINEZ</t>
  </si>
  <si>
    <t>LOTERO, EDMAR</t>
  </si>
  <si>
    <t>ORBETA, RAFFY</t>
  </si>
  <si>
    <t>NOBLE, LEA MAE</t>
  </si>
  <si>
    <t>CARINO, JONATHAN</t>
  </si>
  <si>
    <t>ALGO, RECARDO</t>
  </si>
  <si>
    <t>JIMINEZ, TRINIDAD</t>
  </si>
  <si>
    <t>DALANON, JOEL</t>
  </si>
  <si>
    <t>BADONG, MA GERALDINE</t>
  </si>
  <si>
    <t>CABUAL, JENNIFER</t>
  </si>
  <si>
    <t>ASUMBRA, ISABELO</t>
  </si>
  <si>
    <t>CABILTES, RENILYN</t>
  </si>
  <si>
    <t>BAILON, RICHARD</t>
  </si>
  <si>
    <t>ABULENCIA, MA VICTORIA</t>
  </si>
  <si>
    <t>NAREDO, MARY GRACE</t>
  </si>
  <si>
    <t>LLANITA, ROY</t>
  </si>
  <si>
    <t>MUNDOC, ELIZABETH</t>
  </si>
  <si>
    <t>L</t>
  </si>
  <si>
    <t>AGUSTO, NELSON</t>
  </si>
  <si>
    <t>GALO, ALMA</t>
  </si>
  <si>
    <t>JARANILA, MECIN</t>
  </si>
  <si>
    <t>CALDITO, ANGELICA</t>
  </si>
  <si>
    <t>BACLARAN STATION</t>
  </si>
  <si>
    <t>EDSA STATION</t>
  </si>
  <si>
    <t>LIBERTAD STATION</t>
  </si>
  <si>
    <t>GIL PUYAT</t>
  </si>
  <si>
    <t>VITO CRUZ STATION</t>
  </si>
  <si>
    <t>QUIRINO STATION</t>
  </si>
  <si>
    <t>PEDRO GIL STATION</t>
  </si>
  <si>
    <t>YODICO, ANNALIZA</t>
  </si>
  <si>
    <t>JAVIER, JAYSON</t>
  </si>
  <si>
    <t>LINSANGAN, GHAY</t>
  </si>
  <si>
    <t>DABLO, FELISAR</t>
  </si>
  <si>
    <t>VELASCO, CEDIE</t>
  </si>
  <si>
    <t>RELIEVER</t>
  </si>
  <si>
    <t>A</t>
  </si>
  <si>
    <t>MARQUEZ, JOEL</t>
  </si>
  <si>
    <t>YUSOYA, ROSAMAR</t>
  </si>
  <si>
    <t>CARUDA, CATHERINE</t>
  </si>
  <si>
    <t>GREJALVO, RONNEL</t>
  </si>
  <si>
    <t>VIJUAN, ARAMY</t>
  </si>
  <si>
    <t>UNATED NATION STATION</t>
  </si>
  <si>
    <t>PONGAN, JOHN RAINIER</t>
  </si>
  <si>
    <t>DELA CERNA, ANNALY</t>
  </si>
  <si>
    <t>MAGALANG, LYDEN</t>
  </si>
  <si>
    <t>REOMA, RENE</t>
  </si>
  <si>
    <t>JUGUILON, WILFREDO</t>
  </si>
  <si>
    <t>TRONZO, IRENE</t>
  </si>
  <si>
    <t>AVILA, CYRIL KENNETH</t>
  </si>
  <si>
    <t>BILLONES, SARA MAE</t>
  </si>
  <si>
    <t>MILLENA, RANDI</t>
  </si>
  <si>
    <t>CORDERO, MAYCIE</t>
  </si>
  <si>
    <t>CENTRAL STATION</t>
  </si>
  <si>
    <t>LUCAPA, RIOMAR</t>
  </si>
  <si>
    <t>TURLA, ROWELLA</t>
  </si>
  <si>
    <t>FALCUTAN, MICHELLE</t>
  </si>
  <si>
    <t>BUNDALIAN, MARK JAYSON</t>
  </si>
  <si>
    <t>SOTELO, BENJAMIN</t>
  </si>
  <si>
    <t>PANADERO, MARK ANTHONY</t>
  </si>
  <si>
    <t>BRAVO, SHARVEE</t>
  </si>
  <si>
    <t>CARRIEDO STATION</t>
  </si>
  <si>
    <t>DOROTEO JOSE STATION</t>
  </si>
  <si>
    <t>PESIMO, ROSALIE</t>
  </si>
  <si>
    <t>GABRIAL, DIANA</t>
  </si>
  <si>
    <t>ORONGAN, NORMAN</t>
  </si>
  <si>
    <t>ORBESO, OMAR</t>
  </si>
  <si>
    <t>ADRIANO, JERALD</t>
  </si>
  <si>
    <t>PENISTAN, JANNET</t>
  </si>
  <si>
    <t>BAMBANG STATION</t>
  </si>
  <si>
    <t>RODILLAS, FRANCISCO</t>
  </si>
  <si>
    <t>ACEDILLA, JOAN</t>
  </si>
  <si>
    <t>MANANQUIL, KATHERINE</t>
  </si>
  <si>
    <t>MANZANERO, SILVESTRE</t>
  </si>
  <si>
    <t>PENISTAN, JANETH</t>
  </si>
  <si>
    <t>OBLINO, ROSARIO</t>
  </si>
  <si>
    <t>TAYUAMAN STATION</t>
  </si>
  <si>
    <t>ANZANO, MARITESS</t>
  </si>
  <si>
    <t>SAN MEGUEL, MELFEL</t>
  </si>
  <si>
    <t>BARTULO, JINKY</t>
  </si>
  <si>
    <t>TOLOSA, HERNANDO JR,</t>
  </si>
  <si>
    <t>REYES, JOSEPHINE</t>
  </si>
  <si>
    <t>BLUMINTRITT STATION</t>
  </si>
  <si>
    <t>GALLIGO, TEDDY</t>
  </si>
  <si>
    <t>GELUA, JOYLYN</t>
  </si>
  <si>
    <t>TENORIO, MA CRISELDA</t>
  </si>
  <si>
    <t>LEGASPI, MICHEAL</t>
  </si>
  <si>
    <t>MANALO, NAZARIA</t>
  </si>
  <si>
    <t>FACULTAN, MICHELLE</t>
  </si>
  <si>
    <t>ABAD SANTOS STATION</t>
  </si>
  <si>
    <t>MEDRID, JEFRREY</t>
  </si>
  <si>
    <t>TOLENTINO, MA ANNALYN</t>
  </si>
  <si>
    <t>BADANOY, JENNELYN</t>
  </si>
  <si>
    <t>ALCANTARA, DARWIN</t>
  </si>
  <si>
    <t>RPAPA STATION</t>
  </si>
  <si>
    <t>RONDINA, MICHAEL</t>
  </si>
  <si>
    <t>GARCIA, ROSE SHELL</t>
  </si>
  <si>
    <t>GARINO, JANICE</t>
  </si>
  <si>
    <t>MANGCABONG, JOHN MARK</t>
  </si>
  <si>
    <t>ANONUEVO,  MUNSOUR</t>
  </si>
  <si>
    <t>5TH AVE STATION</t>
  </si>
  <si>
    <t>DALIBA, JAIVE</t>
  </si>
  <si>
    <t>GARCIA, KERVILYN</t>
  </si>
  <si>
    <t>AGIDO, RONALYN</t>
  </si>
  <si>
    <t>MELANO, JOHN PAUL</t>
  </si>
  <si>
    <t>TAN, RYAN</t>
  </si>
  <si>
    <t>MONUMENTO STATION</t>
  </si>
  <si>
    <t>ANANU, KENNETH</t>
  </si>
  <si>
    <t>ROSALDO, JONA</t>
  </si>
  <si>
    <t>GREGORIO, MARWIN</t>
  </si>
  <si>
    <t>PIDLAOAN, IRENE</t>
  </si>
  <si>
    <t>DEL PRADO, CHRISTIAN</t>
  </si>
  <si>
    <t>BALINTAWAK STATION</t>
  </si>
  <si>
    <t>BONIFACIO, JEFRREY</t>
  </si>
  <si>
    <t>CABRAL, JONALYN</t>
  </si>
  <si>
    <t>BRITON, RITCHE</t>
  </si>
  <si>
    <t>CRAMEN, MELINDA</t>
  </si>
  <si>
    <t>MARFIL, CYNTHIA</t>
  </si>
  <si>
    <t>BROSAS, RONNEL</t>
  </si>
  <si>
    <t>VERTODES, RENO</t>
  </si>
  <si>
    <t>FPJ STATION</t>
  </si>
  <si>
    <t>DECIEMBRE, JOEY</t>
  </si>
  <si>
    <t>DIAZ, JOCEL</t>
  </si>
  <si>
    <t>MADRIDIO, JOSHUA</t>
  </si>
  <si>
    <t>LUMBRE, ROCHELLE</t>
  </si>
  <si>
    <t>SALAS, JONATHAN</t>
  </si>
  <si>
    <t>PRADO, JAYSON</t>
  </si>
  <si>
    <t>RAZOS, RIE LESTER</t>
  </si>
  <si>
    <t>PALOMO, JOHN PAUL</t>
  </si>
  <si>
    <t>PM04203</t>
  </si>
  <si>
    <t>PM04327</t>
  </si>
  <si>
    <t>PM04266</t>
  </si>
  <si>
    <t>PM04255</t>
  </si>
  <si>
    <t>PM04345</t>
  </si>
  <si>
    <t>PM04408</t>
  </si>
  <si>
    <t>PM04340</t>
  </si>
  <si>
    <t>PM04339</t>
  </si>
  <si>
    <t>PM04252</t>
  </si>
  <si>
    <t>PM01632</t>
  </si>
  <si>
    <t>PM04241</t>
  </si>
  <si>
    <t>PM04289</t>
  </si>
  <si>
    <t>PM04321</t>
  </si>
  <si>
    <t>PM04514</t>
  </si>
  <si>
    <t>PM04294</t>
  </si>
  <si>
    <t>PM04311</t>
  </si>
  <si>
    <t>PM04307</t>
  </si>
  <si>
    <t>PM04505</t>
  </si>
  <si>
    <t>PM04242</t>
  </si>
  <si>
    <t>PM04468</t>
  </si>
  <si>
    <t>PM03400</t>
  </si>
  <si>
    <t>PM04248</t>
  </si>
  <si>
    <t>PM02145</t>
  </si>
  <si>
    <t>PM04303</t>
  </si>
  <si>
    <t>PM04251</t>
  </si>
  <si>
    <t>PM04535</t>
  </si>
  <si>
    <t>PM042318</t>
  </si>
  <si>
    <t>PM04278</t>
  </si>
  <si>
    <t>PM04277</t>
  </si>
  <si>
    <t>PM04526</t>
  </si>
  <si>
    <t>PM04420</t>
  </si>
  <si>
    <t>PM04271</t>
  </si>
  <si>
    <t>PM04341</t>
  </si>
  <si>
    <t>PM04313</t>
  </si>
  <si>
    <t>PM04319</t>
  </si>
  <si>
    <t>PM04516</t>
  </si>
  <si>
    <t>PM04338</t>
  </si>
  <si>
    <t>PM04346</t>
  </si>
  <si>
    <t>PM04234</t>
  </si>
  <si>
    <t>PM04304</t>
  </si>
  <si>
    <t>PM04276</t>
  </si>
  <si>
    <t>PM04511</t>
  </si>
  <si>
    <t>PM04309</t>
  </si>
  <si>
    <t>PM02364</t>
  </si>
  <si>
    <t>PM04342</t>
  </si>
  <si>
    <t>PM04317</t>
  </si>
  <si>
    <t>PM04265</t>
  </si>
  <si>
    <t>PM04355</t>
  </si>
  <si>
    <t>PM04245</t>
  </si>
  <si>
    <t>PM04254</t>
  </si>
  <si>
    <t>PM04250</t>
  </si>
  <si>
    <t>PM04246</t>
  </si>
  <si>
    <t>PM04253</t>
  </si>
  <si>
    <t>PM04290</t>
  </si>
  <si>
    <t>PM04302</t>
  </si>
  <si>
    <t>PM04285</t>
  </si>
  <si>
    <t>PM04243</t>
  </si>
  <si>
    <t>PM03204</t>
  </si>
  <si>
    <t>PM04286</t>
  </si>
  <si>
    <t>PM04450</t>
  </si>
  <si>
    <t>PM04283</t>
  </si>
  <si>
    <t>PM04322</t>
  </si>
  <si>
    <t>PM04320</t>
  </si>
  <si>
    <t>PM04323</t>
  </si>
  <si>
    <t>PM04347</t>
  </si>
  <si>
    <t>PM01573</t>
  </si>
  <si>
    <t>PM04358</t>
  </si>
  <si>
    <t>PM04301</t>
  </si>
  <si>
    <t>PM04258</t>
  </si>
  <si>
    <t>PM04262</t>
  </si>
  <si>
    <t>PM04291</t>
  </si>
  <si>
    <t>PM04353</t>
  </si>
  <si>
    <t>PM04510</t>
  </si>
  <si>
    <t>PM04377</t>
  </si>
  <si>
    <t>PM04305</t>
  </si>
  <si>
    <t>PM04312</t>
  </si>
  <si>
    <t>PM04354</t>
  </si>
  <si>
    <t>PM04295</t>
  </si>
  <si>
    <t>PM024281</t>
  </si>
  <si>
    <t>PM04534</t>
  </si>
  <si>
    <t>PM04244</t>
  </si>
  <si>
    <t>PM04366</t>
  </si>
  <si>
    <t>PM04247</t>
  </si>
  <si>
    <t>PM04308</t>
  </si>
  <si>
    <t>PM04314</t>
  </si>
  <si>
    <t>PM04263</t>
  </si>
  <si>
    <t>PM04260</t>
  </si>
  <si>
    <t>PM04299</t>
  </si>
  <si>
    <t>PM04296</t>
  </si>
  <si>
    <t>PM01529</t>
  </si>
  <si>
    <t>PM04261</t>
  </si>
  <si>
    <t>PM04272</t>
  </si>
  <si>
    <t>PM04270</t>
  </si>
  <si>
    <t>PM04293</t>
  </si>
  <si>
    <t>PM04336</t>
  </si>
  <si>
    <t>PM04292</t>
  </si>
  <si>
    <t>PM04259</t>
  </si>
  <si>
    <t>PM04284</t>
  </si>
  <si>
    <t>PM04280</t>
  </si>
  <si>
    <t>PM04236</t>
  </si>
  <si>
    <t>PM04473</t>
  </si>
  <si>
    <t>PM03408</t>
  </si>
  <si>
    <t>PM04429</t>
  </si>
  <si>
    <t>PM04421</t>
  </si>
  <si>
    <t>PM04513</t>
  </si>
  <si>
    <t>JAYSON PRADO / REI LESTER RAZOS</t>
  </si>
  <si>
    <t>JOHN PAUL PALOMO</t>
  </si>
  <si>
    <t>WILLIAM TUBERA JR</t>
  </si>
  <si>
    <t>HK COORDINATOR</t>
  </si>
  <si>
    <t>\</t>
  </si>
  <si>
    <t>PORTUGUESE ,ALEXANDER</t>
  </si>
  <si>
    <t>PM03449</t>
  </si>
  <si>
    <t>f</t>
  </si>
  <si>
    <t>PORTUEGUESE, ALEXANDER</t>
  </si>
  <si>
    <t>BALUYOT, ERWIN</t>
  </si>
  <si>
    <t>PM04264</t>
  </si>
  <si>
    <t>PM04297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</si>
</sst>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b/>
      <sz val="11"/>
      <color theme="1"/>
      <name val="Leelawadee"/>
      <family val="2"/>
    </font>
    <font>
      <b/>
      <sz val="8"/>
      <color theme="1" tint="0.249977111117893"/>
      <name val="Calibri"/>
      <family val="2"/>
      <scheme val="minor"/>
    </font>
    <font>
      <sz val="11"/>
      <color theme="1"/>
      <name val="Leelawadee"/>
      <family val="2"/>
    </font>
    <font>
      <b/>
      <sz val="12"/>
      <name val="Leelawadee"/>
      <family val="2"/>
    </font>
    <font>
      <sz val="12"/>
      <name val="Leelawadee"/>
      <family val="2"/>
    </font>
    <font>
      <sz val="10"/>
      <name val="Leelawadee"/>
      <family val="2"/>
    </font>
    <font>
      <sz val="9"/>
      <name val="Leelawadee"/>
      <family val="2"/>
    </font>
    <font>
      <b/>
      <sz val="10"/>
      <name val="Leelawadee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1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164" fontId="4" fillId="2" borderId="20" xfId="0" applyNumberFormat="1" applyFont="1" applyFill="1" applyBorder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164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64" fontId="4" fillId="2" borderId="20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1" xfId="0" applyFont="1" applyFill="1" applyBorder="1"/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9" fillId="0" borderId="21" xfId="0" applyFont="1" applyBorder="1" applyAlignment="1">
      <alignment horizontal="center"/>
    </xf>
    <xf numFmtId="20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top" wrapText="1"/>
    </xf>
    <xf numFmtId="164" fontId="4" fillId="2" borderId="21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6"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rgb="FFC6D9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244883</xdr:colOff>
      <xdr:row>0</xdr:row>
      <xdr:rowOff>167815</xdr:rowOff>
    </xdr:from>
    <xdr:to>
      <xdr:col>3</xdr:col>
      <xdr:colOff>95250</xdr:colOff>
      <xdr:row>6</xdr:row>
      <xdr:rowOff>23924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93C3367-08CE-4838-B18C-7EF4C91AD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4883" y="167815"/>
          <a:ext cx="2263367" cy="107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E1F521-51D1-408C-8B7D-F9F489E3797C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31A841-8063-471A-A14B-C9ABD34120B6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142176</xdr:rowOff>
    </xdr:from>
    <xdr:to>
      <xdr:col>3</xdr:col>
      <xdr:colOff>217715</xdr:colOff>
      <xdr:row>6</xdr:row>
      <xdr:rowOff>23812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B42A5045-4A11-45FD-A027-789BD2046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42176"/>
          <a:ext cx="2386169" cy="1106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FCE29F-090E-4FBF-90A8-ED154D173A8F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06F47-3C6A-4F68-9FE9-36499672E74C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158750</xdr:rowOff>
    </xdr:from>
    <xdr:to>
      <xdr:col>2</xdr:col>
      <xdr:colOff>931334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B6E5FE1-A190-431A-8E1A-C7C04DFD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58750"/>
          <a:ext cx="1400407" cy="1058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9D6D86-4251-4C78-BE00-0D6A104A06F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64A915B-B722-4341-AB18-5BA3192F6A60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227764</xdr:colOff>
      <xdr:row>0</xdr:row>
      <xdr:rowOff>141666</xdr:rowOff>
    </xdr:from>
    <xdr:to>
      <xdr:col>3</xdr:col>
      <xdr:colOff>44904</xdr:colOff>
      <xdr:row>6</xdr:row>
      <xdr:rowOff>35833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29F3F45-7A20-47ED-AA1D-BC0CB7124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7764" y="141666"/>
          <a:ext cx="2225604" cy="1118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806E43-8DFA-4921-8946-CE48310AE1EE}"/>
            </a:ext>
          </a:extLst>
        </xdr:cNvPr>
        <xdr:cNvSpPr txBox="1"/>
      </xdr:nvSpPr>
      <xdr:spPr>
        <a:xfrm>
          <a:off x="16983074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FB37B4-8267-452F-8B7F-FBED915F85F4}"/>
            </a:ext>
          </a:extLst>
        </xdr:cNvPr>
        <xdr:cNvSpPr txBox="1"/>
      </xdr:nvSpPr>
      <xdr:spPr>
        <a:xfrm>
          <a:off x="16166724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250595</xdr:colOff>
      <xdr:row>0</xdr:row>
      <xdr:rowOff>158750</xdr:rowOff>
    </xdr:from>
    <xdr:to>
      <xdr:col>3</xdr:col>
      <xdr:colOff>217715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2AC146B1-CC82-46C2-91E9-8B7F7AAF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0595" y="158750"/>
          <a:ext cx="2375584" cy="10764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1D6996-21A8-4387-BD43-C538413C9C4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3C00A9-87C1-4CBA-B26A-E4E6B357358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185739</xdr:rowOff>
    </xdr:from>
    <xdr:to>
      <xdr:col>2</xdr:col>
      <xdr:colOff>960658</xdr:colOff>
      <xdr:row>6</xdr:row>
      <xdr:rowOff>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D3AA2E98-9EC7-464C-A4FD-6F82ED83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5739"/>
          <a:ext cx="1435023" cy="1040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EAA8A-33BC-42EB-A337-B398D2AF2E3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89A5B1-9BA1-4652-BF0A-F39599C090CC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182859</xdr:colOff>
      <xdr:row>0</xdr:row>
      <xdr:rowOff>180975</xdr:rowOff>
    </xdr:from>
    <xdr:to>
      <xdr:col>3</xdr:col>
      <xdr:colOff>130967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FA4DE6F-36FB-475A-BEE7-A104183D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59" y="180975"/>
          <a:ext cx="2365077" cy="1054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3AA80B-D579-45BB-BD17-7B70D3945F9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21CE-670E-48C5-A8F7-8AB80F94A1DA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263822</xdr:colOff>
      <xdr:row>0</xdr:row>
      <xdr:rowOff>200024</xdr:rowOff>
    </xdr:from>
    <xdr:to>
      <xdr:col>3</xdr:col>
      <xdr:colOff>261937</xdr:colOff>
      <xdr:row>6</xdr:row>
      <xdr:rowOff>35718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E3808142-8A6B-4047-B723-02C6265C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2" y="200024"/>
          <a:ext cx="2415084" cy="1062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00744-AE14-4109-B97F-C46ED2F7203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6E485F-7F47-47F9-82D3-3918D396433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0</xdr:row>
      <xdr:rowOff>180974</xdr:rowOff>
    </xdr:from>
    <xdr:to>
      <xdr:col>3</xdr:col>
      <xdr:colOff>59531</xdr:colOff>
      <xdr:row>6</xdr:row>
      <xdr:rowOff>9524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3C9684C6-944F-48E4-81F2-9D36814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180974"/>
          <a:ext cx="2236490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9D92C5-B327-4866-939C-9C846E85B296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7B3902-C476-49E9-A0A2-A6C22375DB1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263823</xdr:colOff>
      <xdr:row>1</xdr:row>
      <xdr:rowOff>1</xdr:rowOff>
    </xdr:from>
    <xdr:to>
      <xdr:col>3</xdr:col>
      <xdr:colOff>11906</xdr:colOff>
      <xdr:row>6</xdr:row>
      <xdr:rowOff>19051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5709B32-5566-4287-BE01-29E5A0FD9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823" y="202407"/>
          <a:ext cx="2355552" cy="1042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929613-0BE5-49F5-BB4F-FAEEEA46B671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3BEBB8-3478-457C-B000-8A97AA68C052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1C14C7-FA3D-4214-B773-9F05A0B1D227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9AA0CC-4F37-4B23-AF03-F7CBF2B5D1F1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A2991E-C98E-469C-8506-8BF900E9C35D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8D235D-DE80-472F-9254-8CECFF4F2220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ED84C-0EEF-4B87-97C2-24063D7B3A3A}"/>
            </a:ext>
          </a:extLst>
        </xdr:cNvPr>
        <xdr:cNvSpPr txBox="1"/>
      </xdr:nvSpPr>
      <xdr:spPr>
        <a:xfrm>
          <a:off x="17037843" y="1012031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0CD052-BD2A-4D16-8A62-B9F847DF011F}"/>
            </a:ext>
          </a:extLst>
        </xdr:cNvPr>
        <xdr:cNvSpPr txBox="1"/>
      </xdr:nvSpPr>
      <xdr:spPr>
        <a:xfrm>
          <a:off x="16226255" y="1012987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240010</xdr:colOff>
      <xdr:row>1</xdr:row>
      <xdr:rowOff>0</xdr:rowOff>
    </xdr:from>
    <xdr:to>
      <xdr:col>3</xdr:col>
      <xdr:colOff>11906</xdr:colOff>
      <xdr:row>6</xdr:row>
      <xdr:rowOff>9525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1FDD46C0-341D-4AD4-A61B-BAA8760B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10" y="202406"/>
          <a:ext cx="2188865" cy="1033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AEE106-A8A3-45A1-8FBE-F9564E3F9479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BF9C6-1753-4391-A140-F86CE59550F9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230485</xdr:colOff>
      <xdr:row>0</xdr:row>
      <xdr:rowOff>171451</xdr:rowOff>
    </xdr:from>
    <xdr:to>
      <xdr:col>3</xdr:col>
      <xdr:colOff>47625</xdr:colOff>
      <xdr:row>6</xdr:row>
      <xdr:rowOff>9526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A79C90DE-B047-4463-BF92-AD4C41A2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0485" y="171451"/>
          <a:ext cx="2234109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72EEED-50DF-45B7-B6C7-31B0C835B50D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37A065-696D-4076-8EEE-2CA259C3857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263292</xdr:colOff>
      <xdr:row>1</xdr:row>
      <xdr:rowOff>1</xdr:rowOff>
    </xdr:from>
    <xdr:to>
      <xdr:col>3</xdr:col>
      <xdr:colOff>42333</xdr:colOff>
      <xdr:row>6</xdr:row>
      <xdr:rowOff>10584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8A500D71-608E-4C18-8833-20B33D2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292" y="201084"/>
          <a:ext cx="2192041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42961CA-3FD7-4482-A5A3-20FA9AFBC1E5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FB210D-1715-4739-A41B-7D9DE1E526B3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2</xdr:col>
      <xdr:colOff>1869281</xdr:colOff>
      <xdr:row>6</xdr:row>
      <xdr:rowOff>28575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F7286C43-0A49-4E07-8C5A-735A7972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2696" cy="1064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2C3C90-7905-4FDB-A2E0-4BDD4C46393C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9C97E7-52DD-41A1-AF43-5F88F06E1F0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10583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B631FB4-E2D7-48A9-8575-19569DD2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0262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C18A9-B248-40AC-904E-B2310011DD38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534F2C-8939-45BA-80D8-5E21349A08A0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190501</xdr:rowOff>
    </xdr:from>
    <xdr:to>
      <xdr:col>3</xdr:col>
      <xdr:colOff>137583</xdr:colOff>
      <xdr:row>6</xdr:row>
      <xdr:rowOff>28576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8AC4E73-FD94-4C16-8278-663F9A56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1"/>
          <a:ext cx="2329623" cy="1055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43DC57-3D1F-4257-9F89-B07C9D948714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A95048-8A34-4F1E-9C22-0595E91ACA56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63500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55A57669-EE54-492D-8735-690DD8C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55540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1E2B7-DF8D-42DF-96B2-90425C7E096E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3E3950-8D5B-4276-8194-D20DE56D0035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256679</xdr:colOff>
      <xdr:row>0</xdr:row>
      <xdr:rowOff>190500</xdr:rowOff>
    </xdr:from>
    <xdr:to>
      <xdr:col>3</xdr:col>
      <xdr:colOff>130968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63505C62-D848-467E-8A48-BE950D81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6679" y="190500"/>
          <a:ext cx="2291258" cy="10548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C4DBED-B19C-4E1F-9861-103EFCC28E82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67BFF-52F6-44E2-A85D-75EC446512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52917</xdr:colOff>
      <xdr:row>6</xdr:row>
      <xdr:rowOff>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0CB20AAD-0F74-4D18-A566-CB3C1950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244957" cy="1026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A7478B-9D18-49FF-BD2A-0692A9F8752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725568B-CAE4-4F6F-8EB1-4C2F413B8427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258536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9ED20EF7-D481-4924-AE36-C57BF68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446040" cy="1053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BBCDE3-46BF-4323-9870-C77F6D585CC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8B078D-AECB-4690-9F6D-FC68585AA104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220960</xdr:colOff>
      <xdr:row>0</xdr:row>
      <xdr:rowOff>190500</xdr:rowOff>
    </xdr:from>
    <xdr:to>
      <xdr:col>3</xdr:col>
      <xdr:colOff>169333</xdr:colOff>
      <xdr:row>6</xdr:row>
      <xdr:rowOff>19050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C98F1520-7037-4F33-99C1-CEE3F8CE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960" y="190500"/>
          <a:ext cx="2361373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63CC58-5ECE-4E17-BFEA-B0814588E4BA}"/>
            </a:ext>
          </a:extLst>
        </xdr:cNvPr>
        <xdr:cNvSpPr txBox="1"/>
      </xdr:nvSpPr>
      <xdr:spPr>
        <a:xfrm>
          <a:off x="16878299" y="1000125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FCE17BC-CD44-4307-B0A1-4572593AEFDD}"/>
            </a:ext>
          </a:extLst>
        </xdr:cNvPr>
        <xdr:cNvSpPr txBox="1"/>
      </xdr:nvSpPr>
      <xdr:spPr>
        <a:xfrm>
          <a:off x="16061949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22C5-B472-4104-9D1D-CD6ECCA170B1}">
  <sheetPr>
    <pageSetUpPr fitToPage="1"/>
  </sheetPr>
  <dimension ref="A1:AE64"/>
  <sheetViews>
    <sheetView topLeftCell="A7" zoomScale="70" zoomScaleNormal="70" workbookViewId="0">
      <selection activeCell="C25" sqref="C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49</v>
      </c>
      <c r="D15" s="31" t="s">
        <v>188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50</v>
      </c>
      <c r="D16" s="31" t="s">
        <v>231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8" si="3">X16*8</f>
        <v>96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12</v>
      </c>
    </row>
    <row r="17" spans="1:31" ht="24.95" customHeight="1" x14ac:dyDescent="0.25">
      <c r="B17" s="30">
        <f t="shared" si="2"/>
        <v>3</v>
      </c>
      <c r="C17" s="61" t="s">
        <v>51</v>
      </c>
      <c r="D17" s="31" t="s">
        <v>189</v>
      </c>
      <c r="E17" s="31" t="s">
        <v>29</v>
      </c>
      <c r="F17" s="31" t="s">
        <v>26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1:31" ht="29.25" customHeight="1" x14ac:dyDescent="0.25">
      <c r="B18" s="30">
        <f t="shared" si="2"/>
        <v>4</v>
      </c>
      <c r="C18" s="61" t="s">
        <v>52</v>
      </c>
      <c r="D18" s="31" t="s">
        <v>190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 t="s">
        <v>75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1:31" ht="29.25" customHeight="1" x14ac:dyDescent="0.25">
      <c r="B19" s="30">
        <f t="shared" si="2"/>
        <v>5</v>
      </c>
      <c r="C19" s="61" t="s">
        <v>53</v>
      </c>
      <c r="D19" s="31" t="s">
        <v>221</v>
      </c>
      <c r="E19" s="31" t="s">
        <v>29</v>
      </c>
      <c r="F19" s="31" t="s">
        <v>28</v>
      </c>
      <c r="G19" s="63" t="s">
        <v>57</v>
      </c>
      <c r="H19" s="33" t="s">
        <v>27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1:31" ht="24.95" customHeight="1" x14ac:dyDescent="0.25">
      <c r="B20" s="30"/>
      <c r="C20" s="65" t="s">
        <v>92</v>
      </c>
      <c r="D20" s="31"/>
      <c r="E20" s="31"/>
      <c r="F20" s="31"/>
      <c r="G20" s="6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1:31" ht="24.95" customHeight="1" x14ac:dyDescent="0.25">
      <c r="B21" s="30">
        <v>1</v>
      </c>
      <c r="C21" s="61" t="s">
        <v>58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1:31" ht="24.95" customHeight="1" x14ac:dyDescent="0.25">
      <c r="B22" s="30">
        <v>2</v>
      </c>
      <c r="C22" s="61" t="s">
        <v>58</v>
      </c>
      <c r="D22" s="31" t="s">
        <v>218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10</v>
      </c>
    </row>
    <row r="23" spans="1:31" ht="30.75" customHeight="1" x14ac:dyDescent="0.25">
      <c r="B23" s="30">
        <v>3</v>
      </c>
      <c r="C23" s="61" t="s">
        <v>53</v>
      </c>
      <c r="D23" s="31" t="s">
        <v>221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ref="Y23" si="7">X23*8</f>
        <v>8</v>
      </c>
      <c r="Z23" s="34"/>
      <c r="AA23" s="34">
        <f t="shared" ref="AA23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1:31" ht="31.5" customHeight="1" x14ac:dyDescent="0.25">
      <c r="B24" s="30">
        <v>4</v>
      </c>
      <c r="C24" s="61" t="s">
        <v>300</v>
      </c>
      <c r="D24" s="31" t="s">
        <v>235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>
        <v>8</v>
      </c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1:31" ht="32.25" customHeight="1" x14ac:dyDescent="0.25">
      <c r="A25" s="1" t="s">
        <v>295</v>
      </c>
      <c r="B25" s="30">
        <v>5</v>
      </c>
      <c r="C25" s="61" t="s">
        <v>300</v>
      </c>
      <c r="D25" s="31" t="s">
        <v>235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>
        <v>8</v>
      </c>
      <c r="P25" s="34"/>
      <c r="Q25" s="34"/>
      <c r="R25" s="34"/>
      <c r="S25" s="34"/>
      <c r="T25" s="34"/>
      <c r="U25" s="34"/>
      <c r="V25" s="34">
        <v>8</v>
      </c>
      <c r="W25" s="35"/>
      <c r="X25" s="36" cm="1">
        <f t="array" ref="X25">SUMPRODUCT(--ISNUMBER(H25:W25), --($H$14:$W$14&lt;&gt;"LH"), --($H$14:$W$14&lt;&gt;"SH"))</f>
        <v>2</v>
      </c>
      <c r="Y25" s="34">
        <f t="shared" ref="Y25" si="9">X25*8</f>
        <v>16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6</v>
      </c>
    </row>
    <row r="26" spans="1:31" ht="32.25" customHeight="1" x14ac:dyDescent="0.25">
      <c r="B26" s="30">
        <v>6</v>
      </c>
      <c r="C26" s="61" t="s">
        <v>51</v>
      </c>
      <c r="D26" s="31" t="s">
        <v>189</v>
      </c>
      <c r="E26" s="31" t="s">
        <v>29</v>
      </c>
      <c r="F26" s="31" t="s">
        <v>28</v>
      </c>
      <c r="G26" s="63" t="s">
        <v>57</v>
      </c>
      <c r="H26" s="33">
        <v>8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ref="Y26" si="11">X26*8</f>
        <v>8</v>
      </c>
      <c r="Z26" s="34"/>
      <c r="AA26" s="34">
        <f t="shared" ref="AA26" si="12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1:31" ht="24.95" hidden="1" customHeight="1" x14ac:dyDescent="0.25">
      <c r="B27" s="30">
        <v>6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1:31" ht="24.95" hidden="1" customHeight="1" x14ac:dyDescent="0.25">
      <c r="B28" s="30">
        <f t="shared" si="2"/>
        <v>14</v>
      </c>
      <c r="C28" s="6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1:31" ht="24.95" hidden="1" customHeight="1" x14ac:dyDescent="0.25">
      <c r="B29" s="30">
        <f t="shared" si="2"/>
        <v>15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1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1:31" ht="24.95" hidden="1" customHeight="1" x14ac:dyDescent="0.25">
      <c r="B31" s="30">
        <f t="shared" si="2"/>
        <v>17</v>
      </c>
      <c r="C31" s="6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1:31" ht="24.95" hidden="1" customHeight="1" x14ac:dyDescent="0.25">
      <c r="B32" s="30">
        <f t="shared" si="2"/>
        <v>18</v>
      </c>
      <c r="C32" s="64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7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75</v>
      </c>
      <c r="H49" s="38">
        <f t="shared" ref="H49:W49" si="13">COUNTA(H15:H48)-COUNTIF(H15:H48,"A")-COUNTIF(H15:H48,"D")-COUNTIF(H15:H48,"L")</f>
        <v>5</v>
      </c>
      <c r="I49" s="39">
        <f t="shared" si="13"/>
        <v>5</v>
      </c>
      <c r="J49" s="39">
        <f t="shared" si="13"/>
        <v>5</v>
      </c>
      <c r="K49" s="39">
        <f t="shared" si="13"/>
        <v>5</v>
      </c>
      <c r="L49" s="39">
        <f t="shared" si="13"/>
        <v>5</v>
      </c>
      <c r="M49" s="39">
        <f t="shared" si="13"/>
        <v>5</v>
      </c>
      <c r="N49" s="39">
        <f t="shared" si="13"/>
        <v>5</v>
      </c>
      <c r="O49" s="39">
        <f t="shared" si="13"/>
        <v>5</v>
      </c>
      <c r="P49" s="39">
        <f t="shared" si="13"/>
        <v>5</v>
      </c>
      <c r="Q49" s="39">
        <f t="shared" si="13"/>
        <v>5</v>
      </c>
      <c r="R49" s="39">
        <f t="shared" si="13"/>
        <v>5</v>
      </c>
      <c r="S49" s="39">
        <f t="shared" si="13"/>
        <v>5</v>
      </c>
      <c r="T49" s="39">
        <f t="shared" si="13"/>
        <v>5</v>
      </c>
      <c r="U49" s="39">
        <f t="shared" si="13"/>
        <v>5</v>
      </c>
      <c r="V49" s="39">
        <f t="shared" si="13"/>
        <v>5</v>
      </c>
      <c r="W49" s="40">
        <f t="shared" si="13"/>
        <v>0</v>
      </c>
      <c r="X49" s="41">
        <f t="shared" ref="X49:AE49" si="14">SUM(X15:X48)</f>
        <v>75</v>
      </c>
      <c r="Y49" s="42">
        <f t="shared" si="14"/>
        <v>600</v>
      </c>
      <c r="Z49" s="42">
        <f t="shared" si="14"/>
        <v>0</v>
      </c>
      <c r="AA49" s="42">
        <f t="shared" si="14"/>
        <v>0</v>
      </c>
      <c r="AB49" s="42">
        <f t="shared" si="14"/>
        <v>0</v>
      </c>
      <c r="AC49" s="42">
        <f t="shared" si="14"/>
        <v>0</v>
      </c>
      <c r="AD49" s="42">
        <f t="shared" si="14"/>
        <v>0</v>
      </c>
      <c r="AE49" s="42">
        <f t="shared" si="14"/>
        <v>84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291</v>
      </c>
      <c r="C54" s="119"/>
      <c r="D54" s="119"/>
      <c r="E54" s="53"/>
      <c r="F54" s="53"/>
      <c r="G54" s="53"/>
      <c r="H54" s="119" t="s">
        <v>292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293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33">
    <cfRule type="cellIs" dxfId="635" priority="2" stopIfTrue="1" operator="equal">
      <formula>0</formula>
    </cfRule>
  </conditionalFormatting>
  <conditionalFormatting sqref="D15:F26">
    <cfRule type="containsBlanks" dxfId="634" priority="1">
      <formula>LEN(TRIM(D15))=0</formula>
    </cfRule>
  </conditionalFormatting>
  <conditionalFormatting sqref="G15:AE26 D27:AE33 C34:AE48">
    <cfRule type="containsBlanks" dxfId="633" priority="38">
      <formula>LEN(TRIM(C15))=0</formula>
    </cfRule>
  </conditionalFormatting>
  <conditionalFormatting sqref="H12:W12">
    <cfRule type="expression" priority="36">
      <formula>TEXT($D$9+COLUMN()-COLUMN($H$12),"ddd")="Sun"</formula>
    </cfRule>
    <cfRule type="expression" dxfId="632" priority="37">
      <formula>TEXT($D$9+COLUMN()-COLUMN($H$12),"ddd")="Sun"</formula>
    </cfRule>
  </conditionalFormatting>
  <conditionalFormatting sqref="H14:W14">
    <cfRule type="containsBlanks" dxfId="631" priority="14">
      <formula>LEN(TRIM(H14))=0</formula>
    </cfRule>
    <cfRule type="expression" dxfId="630" priority="15">
      <formula>EXACT(H14, "S")</formula>
    </cfRule>
    <cfRule type="expression" dxfId="629" priority="16">
      <formula>EXACT(H14, "R")</formula>
    </cfRule>
    <cfRule type="expression" dxfId="628" priority="17">
      <formula>EXACT(H14, "T")</formula>
    </cfRule>
    <cfRule type="containsText" dxfId="627" priority="18" operator="containsText" text="SH">
      <formula>NOT(ISERROR(SEARCH("SH",H14)))</formula>
    </cfRule>
    <cfRule type="expression" dxfId="626" priority="19">
      <formula>EXACT(H14, "RS")</formula>
    </cfRule>
    <cfRule type="containsText" dxfId="625" priority="20" operator="containsText" text="LH">
      <formula>NOT(ISERROR(SEARCH("LH",H14)))</formula>
    </cfRule>
    <cfRule type="expression" dxfId="624" priority="21">
      <formula>EXACT(H14, "LR")</formula>
    </cfRule>
    <cfRule type="expression" dxfId="623" priority="22">
      <formula>EXACT(H14, "L")</formula>
    </cfRule>
    <cfRule type="expression" dxfId="622" priority="23">
      <formula>EXACT(H14, "D")</formula>
    </cfRule>
    <cfRule type="expression" dxfId="621" priority="24">
      <formula>EXACT(H14, "A")</formula>
    </cfRule>
  </conditionalFormatting>
  <conditionalFormatting sqref="H15:W15">
    <cfRule type="containsBlanks" dxfId="620" priority="25">
      <formula>LEN(TRIM(H15))=0</formula>
    </cfRule>
  </conditionalFormatting>
  <conditionalFormatting sqref="H15:W48">
    <cfRule type="containsText" dxfId="619" priority="11" operator="containsText" text="12">
      <formula>NOT(ISERROR(SEARCH("12",H15)))</formula>
    </cfRule>
    <cfRule type="expression" dxfId="618" priority="12">
      <formula>H$14="LH"</formula>
    </cfRule>
    <cfRule type="expression" dxfId="617" priority="13" stopIfTrue="1">
      <formula>H$14="SH"</formula>
    </cfRule>
    <cfRule type="expression" dxfId="616" priority="26">
      <formula>EXACT(H15, "S")</formula>
    </cfRule>
    <cfRule type="expression" dxfId="615" priority="27">
      <formula>EXACT(H15, "R")</formula>
    </cfRule>
    <cfRule type="expression" dxfId="614" priority="28">
      <formula>EXACT(H15, "T")</formula>
    </cfRule>
    <cfRule type="containsText" dxfId="613" priority="29" operator="containsText" text="SH">
      <formula>NOT(ISERROR(SEARCH("SH",H15)))</formula>
    </cfRule>
    <cfRule type="expression" dxfId="612" priority="30">
      <formula>EXACT(H15, "RS")</formula>
    </cfRule>
    <cfRule type="containsText" dxfId="611" priority="31" operator="containsText" text="RH">
      <formula>NOT(ISERROR(SEARCH("RH",H15)))</formula>
    </cfRule>
    <cfRule type="expression" dxfId="610" priority="32">
      <formula>EXACT(H15, "LR")</formula>
    </cfRule>
    <cfRule type="expression" dxfId="609" priority="33">
      <formula>EXACT(H15, "L")</formula>
    </cfRule>
    <cfRule type="expression" dxfId="608" priority="34">
      <formula>EXACT(H15, "D")</formula>
    </cfRule>
    <cfRule type="expression" dxfId="607" priority="35">
      <formula>EXACT(H15, "A")</formula>
    </cfRule>
  </conditionalFormatting>
  <dataValidations count="1">
    <dataValidation type="list" allowBlank="1" showInputMessage="1" showErrorMessage="1" sqref="H14:W14" xr:uid="{004C3107-6D9F-4A93-99F1-3BB5CF9523D8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576-BD66-4965-A633-6772A57690C8}">
  <sheetPr>
    <pageSetUpPr fitToPage="1"/>
  </sheetPr>
  <dimension ref="B1:AE63"/>
  <sheetViews>
    <sheetView topLeftCell="A12" zoomScale="70" zoomScaleNormal="70" workbookViewId="0">
      <selection activeCell="D19" sqref="D19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22" width="5.7109375" style="1" customWidth="1"/>
    <col min="23" max="23" width="4.42578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59</v>
      </c>
      <c r="D15" s="31" t="s">
        <v>232</v>
      </c>
      <c r="E15" s="31" t="s">
        <v>29</v>
      </c>
      <c r="F15" s="31" t="s">
        <v>26</v>
      </c>
      <c r="G15" s="62" t="s">
        <v>54</v>
      </c>
      <c r="H15" s="34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2.25" customHeight="1" x14ac:dyDescent="0.25">
      <c r="B16" s="30">
        <f t="shared" ref="B16:B47" si="2">ROW()-14</f>
        <v>2</v>
      </c>
      <c r="C16" s="61" t="s">
        <v>60</v>
      </c>
      <c r="D16" s="31" t="s">
        <v>233</v>
      </c>
      <c r="E16" s="31" t="s">
        <v>29</v>
      </c>
      <c r="F16" s="31" t="s">
        <v>26</v>
      </c>
      <c r="G16" s="62" t="s">
        <v>55</v>
      </c>
      <c r="H16" s="34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61</v>
      </c>
      <c r="D17" s="31" t="s">
        <v>191</v>
      </c>
      <c r="E17" s="31" t="s">
        <v>29</v>
      </c>
      <c r="F17" s="31" t="s">
        <v>26</v>
      </c>
      <c r="G17" s="62" t="s">
        <v>55</v>
      </c>
      <c r="H17" s="34">
        <v>8</v>
      </c>
      <c r="I17" s="34">
        <v>8</v>
      </c>
      <c r="J17" s="34">
        <v>8</v>
      </c>
      <c r="K17" s="34">
        <v>8</v>
      </c>
      <c r="L17" s="34" t="s">
        <v>27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>
        <v>8</v>
      </c>
      <c r="S17" s="34" t="s">
        <v>27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1.5" customHeight="1" x14ac:dyDescent="0.25">
      <c r="B18" s="30">
        <f t="shared" si="2"/>
        <v>4</v>
      </c>
      <c r="C18" s="61" t="s">
        <v>62</v>
      </c>
      <c r="D18" s="31" t="s">
        <v>301</v>
      </c>
      <c r="E18" s="31" t="s">
        <v>29</v>
      </c>
      <c r="F18" s="31" t="s">
        <v>28</v>
      </c>
      <c r="G18" s="62" t="s">
        <v>56</v>
      </c>
      <c r="H18" s="34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1.5" customHeight="1" x14ac:dyDescent="0.25">
      <c r="B19" s="30">
        <f t="shared" si="2"/>
        <v>5</v>
      </c>
      <c r="C19" s="61" t="s">
        <v>63</v>
      </c>
      <c r="D19" s="31" t="s">
        <v>234</v>
      </c>
      <c r="E19" s="31" t="s">
        <v>29</v>
      </c>
      <c r="F19" s="31" t="s">
        <v>28</v>
      </c>
      <c r="G19" s="63" t="s">
        <v>57</v>
      </c>
      <c r="H19" s="34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/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31.5" customHeight="1" x14ac:dyDescent="0.25">
      <c r="B21" s="30">
        <v>1</v>
      </c>
      <c r="C21" s="61" t="s">
        <v>64</v>
      </c>
      <c r="D21" s="31" t="s">
        <v>218</v>
      </c>
      <c r="E21" s="31" t="s">
        <v>29</v>
      </c>
      <c r="F21" s="31" t="s">
        <v>26</v>
      </c>
      <c r="G21" s="62" t="s">
        <v>54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6</v>
      </c>
    </row>
    <row r="22" spans="2:31" ht="33" customHeight="1" x14ac:dyDescent="0.25">
      <c r="B22" s="30">
        <v>2</v>
      </c>
      <c r="C22" s="61" t="s">
        <v>64</v>
      </c>
      <c r="D22" s="31" t="s">
        <v>218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>
        <v>8</v>
      </c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/>
      <c r="C23" s="61" t="s">
        <v>61</v>
      </c>
      <c r="D23" s="31" t="s">
        <v>191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/>
      <c r="Y23" s="34"/>
      <c r="Z23" s="34"/>
      <c r="AA23" s="34"/>
      <c r="AB23" s="34"/>
      <c r="AC23" s="34"/>
      <c r="AD23" s="34"/>
      <c r="AE23" s="88"/>
    </row>
    <row r="24" spans="2:31" ht="36.75" customHeight="1" x14ac:dyDescent="0.25">
      <c r="B24" s="30">
        <v>3</v>
      </c>
      <c r="C24" s="61" t="s">
        <v>300</v>
      </c>
      <c r="D24" s="31" t="s">
        <v>235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5.25" customHeight="1" x14ac:dyDescent="0.25">
      <c r="B25" s="30">
        <v>4</v>
      </c>
      <c r="C25" s="61" t="s">
        <v>300</v>
      </c>
      <c r="D25" s="31" t="s">
        <v>235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v>5</v>
      </c>
      <c r="C26" s="6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75</v>
      </c>
      <c r="H48" s="38">
        <f t="shared" ref="H48:W48" si="7">COUNTA(H15:H47)-COUNTIF(H15:H47,"A")-COUNTIF(H15:H47,"D")-COUNTIF(H15:H47,"L")</f>
        <v>5</v>
      </c>
      <c r="I48" s="39">
        <f t="shared" si="7"/>
        <v>5</v>
      </c>
      <c r="J48" s="39">
        <f t="shared" si="7"/>
        <v>5</v>
      </c>
      <c r="K48" s="39">
        <f t="shared" si="7"/>
        <v>5</v>
      </c>
      <c r="L48" s="39">
        <f t="shared" si="7"/>
        <v>5</v>
      </c>
      <c r="M48" s="39">
        <f t="shared" si="7"/>
        <v>5</v>
      </c>
      <c r="N48" s="39">
        <f t="shared" si="7"/>
        <v>5</v>
      </c>
      <c r="O48" s="39">
        <f t="shared" si="7"/>
        <v>5</v>
      </c>
      <c r="P48" s="39">
        <f t="shared" si="7"/>
        <v>5</v>
      </c>
      <c r="Q48" s="39">
        <f t="shared" si="7"/>
        <v>5</v>
      </c>
      <c r="R48" s="39">
        <f t="shared" si="7"/>
        <v>5</v>
      </c>
      <c r="S48" s="39">
        <f t="shared" si="7"/>
        <v>5</v>
      </c>
      <c r="T48" s="39">
        <f t="shared" si="7"/>
        <v>5</v>
      </c>
      <c r="U48" s="39">
        <f t="shared" si="7"/>
        <v>5</v>
      </c>
      <c r="V48" s="39">
        <f t="shared" si="7"/>
        <v>5</v>
      </c>
      <c r="W48" s="40">
        <f t="shared" si="7"/>
        <v>0</v>
      </c>
      <c r="X48" s="41">
        <f t="shared" ref="X48:AE48" si="8">SUM(X15:X47)</f>
        <v>74</v>
      </c>
      <c r="Y48" s="42">
        <f t="shared" si="8"/>
        <v>592</v>
      </c>
      <c r="Z48" s="42">
        <f t="shared" si="8"/>
        <v>0</v>
      </c>
      <c r="AA48" s="42">
        <f t="shared" si="8"/>
        <v>0</v>
      </c>
      <c r="AB48" s="42">
        <f t="shared" si="8"/>
        <v>0</v>
      </c>
      <c r="AC48" s="42">
        <f t="shared" si="8"/>
        <v>0</v>
      </c>
      <c r="AD48" s="42">
        <f t="shared" si="8"/>
        <v>0</v>
      </c>
      <c r="AE48" s="42">
        <f t="shared" si="8"/>
        <v>77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291</v>
      </c>
      <c r="C53" s="119"/>
      <c r="D53" s="119"/>
      <c r="E53" s="53"/>
      <c r="F53" s="53"/>
      <c r="G53" s="53"/>
      <c r="H53" s="119" t="s">
        <v>292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293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606" priority="2" stopIfTrue="1" operator="equal">
      <formula>0</formula>
    </cfRule>
  </conditionalFormatting>
  <conditionalFormatting sqref="D15:G19">
    <cfRule type="containsBlanks" dxfId="605" priority="9">
      <formula>LEN(TRIM(D15))=0</formula>
    </cfRule>
  </conditionalFormatting>
  <conditionalFormatting sqref="D21:G25">
    <cfRule type="containsBlanks" dxfId="604" priority="1">
      <formula>LEN(TRIM(D21))=0</formula>
    </cfRule>
  </conditionalFormatting>
  <conditionalFormatting sqref="H12:W12">
    <cfRule type="expression" priority="38">
      <formula>TEXT($D$9+COLUMN()-COLUMN($H$12),"ddd")="Sun"</formula>
    </cfRule>
    <cfRule type="expression" dxfId="603" priority="39">
      <formula>TEXT($D$9+COLUMN()-COLUMN($H$12),"ddd")="Sun"</formula>
    </cfRule>
  </conditionalFormatting>
  <conditionalFormatting sqref="H14:W14">
    <cfRule type="containsBlanks" dxfId="602" priority="16">
      <formula>LEN(TRIM(H14))=0</formula>
    </cfRule>
    <cfRule type="expression" dxfId="601" priority="17">
      <formula>EXACT(H14, "S")</formula>
    </cfRule>
    <cfRule type="expression" dxfId="600" priority="18">
      <formula>EXACT(H14, "R")</formula>
    </cfRule>
    <cfRule type="expression" dxfId="599" priority="19">
      <formula>EXACT(H14, "T")</formula>
    </cfRule>
    <cfRule type="containsText" dxfId="598" priority="20" operator="containsText" text="SH">
      <formula>NOT(ISERROR(SEARCH("SH",H14)))</formula>
    </cfRule>
    <cfRule type="expression" dxfId="597" priority="21">
      <formula>EXACT(H14, "RS")</formula>
    </cfRule>
    <cfRule type="containsText" dxfId="596" priority="22" operator="containsText" text="LH">
      <formula>NOT(ISERROR(SEARCH("LH",H14)))</formula>
    </cfRule>
    <cfRule type="expression" dxfId="595" priority="23">
      <formula>EXACT(H14, "LR")</formula>
    </cfRule>
    <cfRule type="expression" dxfId="594" priority="24">
      <formula>EXACT(H14, "L")</formula>
    </cfRule>
    <cfRule type="expression" dxfId="593" priority="25">
      <formula>EXACT(H14, "D")</formula>
    </cfRule>
    <cfRule type="expression" dxfId="592" priority="26">
      <formula>EXACT(H14, "A")</formula>
    </cfRule>
  </conditionalFormatting>
  <conditionalFormatting sqref="H15:W15 I16:I17 H16:H19">
    <cfRule type="containsBlanks" dxfId="591" priority="27">
      <formula>LEN(TRIM(H15))=0</formula>
    </cfRule>
  </conditionalFormatting>
  <conditionalFormatting sqref="H15:W47">
    <cfRule type="containsText" dxfId="590" priority="13" operator="containsText" text="12">
      <formula>NOT(ISERROR(SEARCH("12",H15)))</formula>
    </cfRule>
    <cfRule type="expression" dxfId="589" priority="14">
      <formula>H$14="LH"</formula>
    </cfRule>
    <cfRule type="expression" dxfId="588" priority="15" stopIfTrue="1">
      <formula>H$14="SH"</formula>
    </cfRule>
    <cfRule type="expression" dxfId="587" priority="28">
      <formula>EXACT(H15, "S")</formula>
    </cfRule>
    <cfRule type="expression" dxfId="586" priority="29">
      <formula>EXACT(H15, "R")</formula>
    </cfRule>
    <cfRule type="expression" dxfId="585" priority="30">
      <formula>EXACT(H15, "T")</formula>
    </cfRule>
    <cfRule type="containsText" dxfId="584" priority="31" operator="containsText" text="SH">
      <formula>NOT(ISERROR(SEARCH("SH",H15)))</formula>
    </cfRule>
    <cfRule type="expression" dxfId="583" priority="32">
      <formula>EXACT(H15, "RS")</formula>
    </cfRule>
    <cfRule type="containsText" dxfId="582" priority="33" operator="containsText" text="RH">
      <formula>NOT(ISERROR(SEARCH("RH",H15)))</formula>
    </cfRule>
    <cfRule type="expression" dxfId="581" priority="34">
      <formula>EXACT(H15, "LR")</formula>
    </cfRule>
    <cfRule type="expression" dxfId="580" priority="35">
      <formula>EXACT(H15, "L")</formula>
    </cfRule>
    <cfRule type="expression" dxfId="579" priority="36">
      <formula>EXACT(H15, "D")</formula>
    </cfRule>
    <cfRule type="expression" dxfId="578" priority="37">
      <formula>EXACT(H15, "A")</formula>
    </cfRule>
  </conditionalFormatting>
  <conditionalFormatting sqref="H15:AE19 D20:AE20 H21:AE25 D26:AE27 C28:AE47">
    <cfRule type="containsBlanks" dxfId="577" priority="40">
      <formula>LEN(TRIM(C15))=0</formula>
    </cfRule>
  </conditionalFormatting>
  <dataValidations count="1">
    <dataValidation type="list" allowBlank="1" showInputMessage="1" showErrorMessage="1" sqref="H14:W14" xr:uid="{50EE50A4-F362-43A8-AFCE-0AC2A3D4047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45-AD0B-410E-B4A7-A0992AC52CD0}">
  <sheetPr>
    <pageSetUpPr fitToPage="1"/>
  </sheetPr>
  <dimension ref="B1:AE62"/>
  <sheetViews>
    <sheetView topLeftCell="A11" zoomScale="70" zoomScaleNormal="70" workbookViewId="0">
      <selection activeCell="D24" sqref="D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2" style="1" customWidth="1"/>
    <col min="5" max="5" width="17.7109375" style="1" customWidth="1"/>
    <col min="6" max="6" width="14.140625" style="1" customWidth="1"/>
    <col min="7" max="7" width="12" style="1" customWidth="1"/>
    <col min="8" max="13" width="5.7109375" style="1" customWidth="1"/>
    <col min="14" max="15" width="7.28515625" style="1" customWidth="1"/>
    <col min="16" max="17" width="6.7109375" style="1" customWidth="1"/>
    <col min="18" max="19" width="7" style="1" customWidth="1"/>
    <col min="20" max="21" width="6.7109375" style="1" customWidth="1"/>
    <col min="22" max="22" width="6.570312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82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33" customHeight="1" x14ac:dyDescent="0.25">
      <c r="B15" s="30">
        <f>ROW()-14</f>
        <v>1</v>
      </c>
      <c r="C15" s="61" t="s">
        <v>65</v>
      </c>
      <c r="D15" s="31" t="s">
        <v>195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30.75" customHeight="1" x14ac:dyDescent="0.25">
      <c r="B16" s="30">
        <f t="shared" ref="B16:B46" si="2">ROW()-14</f>
        <v>2</v>
      </c>
      <c r="C16" s="61" t="s">
        <v>66</v>
      </c>
      <c r="D16" s="31" t="s">
        <v>194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33" customHeight="1" x14ac:dyDescent="0.25">
      <c r="B17" s="30">
        <f t="shared" si="2"/>
        <v>3</v>
      </c>
      <c r="C17" s="61" t="s">
        <v>67</v>
      </c>
      <c r="D17" s="31" t="s">
        <v>193</v>
      </c>
      <c r="E17" s="31" t="s">
        <v>29</v>
      </c>
      <c r="F17" s="31" t="s">
        <v>28</v>
      </c>
      <c r="G17" s="62" t="s">
        <v>56</v>
      </c>
      <c r="H17" s="33" t="s">
        <v>75</v>
      </c>
      <c r="I17" s="34" t="s">
        <v>75</v>
      </c>
      <c r="J17" s="34" t="s">
        <v>75</v>
      </c>
      <c r="K17" s="34" t="s">
        <v>27</v>
      </c>
      <c r="L17" s="34" t="s">
        <v>75</v>
      </c>
      <c r="M17" s="34" t="s">
        <v>75</v>
      </c>
      <c r="N17" s="34" t="s">
        <v>75</v>
      </c>
      <c r="O17" s="34" t="s">
        <v>75</v>
      </c>
      <c r="P17" s="34" t="s">
        <v>75</v>
      </c>
      <c r="Q17" s="34" t="s">
        <v>75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4</v>
      </c>
      <c r="Y17" s="34">
        <f t="shared" si="3"/>
        <v>32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68</v>
      </c>
      <c r="D18" s="31" t="s">
        <v>236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290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290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ref="Y21:Y28" si="7">X21*8</f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30" customHeight="1" x14ac:dyDescent="0.25">
      <c r="B22" s="30">
        <v>3</v>
      </c>
      <c r="C22" s="61" t="s">
        <v>49</v>
      </c>
      <c r="D22" s="31" t="s">
        <v>188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>
        <v>8</v>
      </c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7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v>4</v>
      </c>
      <c r="C23" s="61" t="s">
        <v>66</v>
      </c>
      <c r="D23" s="31" t="s">
        <v>194</v>
      </c>
      <c r="E23" s="31" t="s">
        <v>29</v>
      </c>
      <c r="F23" s="31" t="s">
        <v>28</v>
      </c>
      <c r="G23" s="62" t="s">
        <v>56</v>
      </c>
      <c r="H23" s="33">
        <v>8</v>
      </c>
      <c r="I23" s="34"/>
      <c r="J23" s="34">
        <v>8</v>
      </c>
      <c r="K23" s="34"/>
      <c r="L23" s="34"/>
      <c r="M23" s="34"/>
      <c r="N23" s="34">
        <v>8</v>
      </c>
      <c r="O23" s="34">
        <v>8</v>
      </c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4</v>
      </c>
      <c r="Y23" s="34">
        <f t="shared" si="7"/>
        <v>32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" customHeight="1" x14ac:dyDescent="0.25">
      <c r="B24" s="30">
        <v>5</v>
      </c>
      <c r="C24" s="61" t="s">
        <v>62</v>
      </c>
      <c r="D24" s="31" t="s">
        <v>301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0.75" customHeight="1" x14ac:dyDescent="0.25">
      <c r="B25" s="30">
        <v>6</v>
      </c>
      <c r="C25" s="61" t="s">
        <v>51</v>
      </c>
      <c r="D25" s="31" t="s">
        <v>189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7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0.75" customHeight="1" x14ac:dyDescent="0.25">
      <c r="B26" s="30"/>
      <c r="C26" s="61" t="s">
        <v>68</v>
      </c>
      <c r="D26" s="31" t="s">
        <v>236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/>
      <c r="L26" s="34">
        <v>8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7"/>
        <v>8</v>
      </c>
      <c r="Z26" s="34"/>
      <c r="AA26" s="34">
        <f t="shared" ref="AA26" si="8">SUM(H26:W26)-AB26-AD26-Y26</f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0.75" customHeight="1" x14ac:dyDescent="0.25">
      <c r="B27" s="30">
        <v>7</v>
      </c>
      <c r="C27" s="61" t="s">
        <v>300</v>
      </c>
      <c r="D27" s="31" t="s">
        <v>235</v>
      </c>
      <c r="E27" s="31" t="s">
        <v>29</v>
      </c>
      <c r="F27" s="31" t="s">
        <v>28</v>
      </c>
      <c r="G27" s="62" t="s">
        <v>56</v>
      </c>
      <c r="H27" s="33"/>
      <c r="I27" s="34"/>
      <c r="J27" s="34"/>
      <c r="K27" s="34">
        <v>8</v>
      </c>
      <c r="L27" s="34"/>
      <c r="M27" s="34"/>
      <c r="N27" s="34"/>
      <c r="O27" s="34"/>
      <c r="P27" s="34"/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7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/>
    </row>
    <row r="28" spans="2:31" ht="30" customHeight="1" x14ac:dyDescent="0.25">
      <c r="B28" s="30">
        <v>8</v>
      </c>
      <c r="C28" s="61" t="s">
        <v>300</v>
      </c>
      <c r="D28" s="31" t="s">
        <v>235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>
        <v>8</v>
      </c>
      <c r="M28" s="34"/>
      <c r="N28" s="34"/>
      <c r="O28" s="34"/>
      <c r="P28" s="34"/>
      <c r="Q28" s="34"/>
      <c r="R28" s="34"/>
      <c r="S28" s="34">
        <v>8</v>
      </c>
      <c r="T28" s="34"/>
      <c r="U28" s="34"/>
      <c r="V28" s="34"/>
      <c r="W28" s="35"/>
      <c r="X28" s="36" cm="1">
        <f t="array" ref="X28">SUMPRODUCT(--ISNUMBER(H28:W28), --($H$14:$W$14&lt;&gt;"LH"), --($H$14:$W$14&lt;&gt;"SH"))</f>
        <v>2</v>
      </c>
      <c r="Y28" s="34">
        <f t="shared" si="7"/>
        <v>16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2</v>
      </c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 t="s">
        <v>28</v>
      </c>
      <c r="G29" s="63" t="s">
        <v>57</v>
      </c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 t="s">
        <v>28</v>
      </c>
      <c r="G30" s="63" t="s">
        <v>57</v>
      </c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 t="s">
        <v>28</v>
      </c>
      <c r="G31" s="63" t="s">
        <v>57</v>
      </c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 t="s">
        <v>28</v>
      </c>
      <c r="G32" s="63" t="s">
        <v>57</v>
      </c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 t="s">
        <v>28</v>
      </c>
      <c r="G33" s="63" t="s">
        <v>57</v>
      </c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 t="s">
        <v>28</v>
      </c>
      <c r="G34" s="63" t="s">
        <v>57</v>
      </c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 t="s">
        <v>28</v>
      </c>
      <c r="G35" s="63" t="s">
        <v>57</v>
      </c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 t="s">
        <v>28</v>
      </c>
      <c r="G36" s="63" t="s">
        <v>57</v>
      </c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 t="s">
        <v>28</v>
      </c>
      <c r="G37" s="63" t="s">
        <v>57</v>
      </c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 t="s">
        <v>28</v>
      </c>
      <c r="G38" s="63" t="s">
        <v>57</v>
      </c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 t="s">
        <v>28</v>
      </c>
      <c r="G39" s="63" t="s">
        <v>57</v>
      </c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 t="s">
        <v>28</v>
      </c>
      <c r="G40" s="63" t="s">
        <v>57</v>
      </c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 t="s">
        <v>28</v>
      </c>
      <c r="G41" s="63" t="s">
        <v>57</v>
      </c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 t="s">
        <v>28</v>
      </c>
      <c r="G42" s="63" t="s">
        <v>57</v>
      </c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 t="s">
        <v>28</v>
      </c>
      <c r="G43" s="63" t="s">
        <v>57</v>
      </c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 t="s">
        <v>28</v>
      </c>
      <c r="G44" s="63" t="s">
        <v>57</v>
      </c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 t="s">
        <v>28</v>
      </c>
      <c r="G45" s="63" t="s">
        <v>57</v>
      </c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 t="s">
        <v>28</v>
      </c>
      <c r="G46" s="63" t="s">
        <v>57</v>
      </c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9">COUNTA(H15:H46)-COUNTIF(H15:H46,"A")-COUNTIF(H15:H46,"D")-COUNTIF(H15:H46,"L")</f>
        <v>4</v>
      </c>
      <c r="I47" s="39">
        <f t="shared" si="9"/>
        <v>4</v>
      </c>
      <c r="J47" s="39">
        <f t="shared" si="9"/>
        <v>4</v>
      </c>
      <c r="K47" s="39">
        <f t="shared" si="9"/>
        <v>4</v>
      </c>
      <c r="L47" s="39">
        <f t="shared" si="9"/>
        <v>4</v>
      </c>
      <c r="M47" s="39">
        <f t="shared" si="9"/>
        <v>4</v>
      </c>
      <c r="N47" s="39">
        <f t="shared" si="9"/>
        <v>4</v>
      </c>
      <c r="O47" s="39">
        <f t="shared" si="9"/>
        <v>4</v>
      </c>
      <c r="P47" s="39">
        <f t="shared" si="9"/>
        <v>4</v>
      </c>
      <c r="Q47" s="39">
        <f t="shared" si="9"/>
        <v>4</v>
      </c>
      <c r="R47" s="39">
        <f t="shared" si="9"/>
        <v>4</v>
      </c>
      <c r="S47" s="39">
        <f t="shared" si="9"/>
        <v>4</v>
      </c>
      <c r="T47" s="39">
        <f t="shared" si="9"/>
        <v>4</v>
      </c>
      <c r="U47" s="39">
        <f t="shared" si="9"/>
        <v>4</v>
      </c>
      <c r="V47" s="39">
        <f t="shared" si="9"/>
        <v>4</v>
      </c>
      <c r="W47" s="40">
        <f t="shared" si="9"/>
        <v>0</v>
      </c>
      <c r="X47" s="41">
        <f t="shared" ref="X47:AE47" si="10">SUM(X15:X46)</f>
        <v>60</v>
      </c>
      <c r="Y47" s="42">
        <f t="shared" si="10"/>
        <v>480</v>
      </c>
      <c r="Z47" s="42">
        <f t="shared" si="10"/>
        <v>0</v>
      </c>
      <c r="AA47" s="42">
        <f t="shared" si="10"/>
        <v>0</v>
      </c>
      <c r="AB47" s="42">
        <f t="shared" si="10"/>
        <v>0</v>
      </c>
      <c r="AC47" s="42">
        <f t="shared" si="10"/>
        <v>0</v>
      </c>
      <c r="AD47" s="42">
        <f t="shared" si="10"/>
        <v>0</v>
      </c>
      <c r="AE47" s="42">
        <f t="shared" si="10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8">
    <cfRule type="cellIs" dxfId="576" priority="9" stopIfTrue="1" operator="equal">
      <formula>0</formula>
    </cfRule>
  </conditionalFormatting>
  <conditionalFormatting sqref="D20:E28">
    <cfRule type="containsBlanks" dxfId="575" priority="1">
      <formula>LEN(TRIM(D20))=0</formula>
    </cfRule>
  </conditionalFormatting>
  <conditionalFormatting sqref="D15:G18">
    <cfRule type="containsBlanks" dxfId="574" priority="11">
      <formula>LEN(TRIM(D15))=0</formula>
    </cfRule>
  </conditionalFormatting>
  <conditionalFormatting sqref="F20:G46">
    <cfRule type="containsBlanks" dxfId="573" priority="5">
      <formula>LEN(TRIM(F20))=0</formula>
    </cfRule>
  </conditionalFormatting>
  <conditionalFormatting sqref="H12:W12">
    <cfRule type="expression" dxfId="572" priority="44">
      <formula>TEXT($D$9+COLUMN()-COLUMN($H$12),"ddd")="Sun"</formula>
    </cfRule>
    <cfRule type="expression" priority="43">
      <formula>TEXT($D$9+COLUMN()-COLUMN($H$12),"ddd")="Sun"</formula>
    </cfRule>
  </conditionalFormatting>
  <conditionalFormatting sqref="H14:W14">
    <cfRule type="expression" dxfId="571" priority="30">
      <formula>EXACT(H14, "D")</formula>
    </cfRule>
    <cfRule type="expression" dxfId="570" priority="31">
      <formula>EXACT(H14, "A")</formula>
    </cfRule>
    <cfRule type="containsBlanks" dxfId="569" priority="21">
      <formula>LEN(TRIM(H14))=0</formula>
    </cfRule>
    <cfRule type="expression" dxfId="568" priority="22">
      <formula>EXACT(H14, "S")</formula>
    </cfRule>
    <cfRule type="expression" dxfId="567" priority="23">
      <formula>EXACT(H14, "R")</formula>
    </cfRule>
    <cfRule type="expression" dxfId="566" priority="24">
      <formula>EXACT(H14, "T")</formula>
    </cfRule>
    <cfRule type="containsText" dxfId="565" priority="25" operator="containsText" text="SH">
      <formula>NOT(ISERROR(SEARCH("SH",H14)))</formula>
    </cfRule>
    <cfRule type="expression" dxfId="564" priority="26">
      <formula>EXACT(H14, "RS")</formula>
    </cfRule>
    <cfRule type="containsText" dxfId="563" priority="27" operator="containsText" text="LH">
      <formula>NOT(ISERROR(SEARCH("LH",H14)))</formula>
    </cfRule>
    <cfRule type="expression" dxfId="562" priority="28">
      <formula>EXACT(H14, "LR")</formula>
    </cfRule>
    <cfRule type="expression" dxfId="561" priority="29">
      <formula>EXACT(H14, "L")</formula>
    </cfRule>
  </conditionalFormatting>
  <conditionalFormatting sqref="H15:W15">
    <cfRule type="containsBlanks" dxfId="560" priority="32">
      <formula>LEN(TRIM(H15))=0</formula>
    </cfRule>
  </conditionalFormatting>
  <conditionalFormatting sqref="H15:W46">
    <cfRule type="containsText" dxfId="559" priority="18" operator="containsText" text="12">
      <formula>NOT(ISERROR(SEARCH("12",H15)))</formula>
    </cfRule>
    <cfRule type="expression" dxfId="558" priority="33">
      <formula>EXACT(H15, "S")</formula>
    </cfRule>
    <cfRule type="expression" dxfId="557" priority="34">
      <formula>EXACT(H15, "R")</formula>
    </cfRule>
    <cfRule type="expression" dxfId="556" priority="35">
      <formula>EXACT(H15, "T")</formula>
    </cfRule>
    <cfRule type="containsText" dxfId="555" priority="36" operator="containsText" text="SH">
      <formula>NOT(ISERROR(SEARCH("SH",H15)))</formula>
    </cfRule>
    <cfRule type="expression" dxfId="554" priority="37">
      <formula>EXACT(H15, "RS")</formula>
    </cfRule>
    <cfRule type="containsText" dxfId="553" priority="38" operator="containsText" text="RH">
      <formula>NOT(ISERROR(SEARCH("RH",H15)))</formula>
    </cfRule>
    <cfRule type="expression" dxfId="552" priority="39">
      <formula>EXACT(H15, "LR")</formula>
    </cfRule>
    <cfRule type="expression" dxfId="551" priority="40">
      <formula>EXACT(H15, "L")</formula>
    </cfRule>
    <cfRule type="expression" dxfId="550" priority="41">
      <formula>EXACT(H15, "D")</formula>
    </cfRule>
    <cfRule type="expression" dxfId="549" priority="42">
      <formula>EXACT(H15, "A")</formula>
    </cfRule>
    <cfRule type="expression" dxfId="548" priority="20" stopIfTrue="1">
      <formula>H$14="SH"</formula>
    </cfRule>
    <cfRule type="expression" dxfId="547" priority="19">
      <formula>H$14="LH"</formula>
    </cfRule>
  </conditionalFormatting>
  <conditionalFormatting sqref="H15:AE18 D19:AE19 H27:W28 H29:AE46 C29:E46">
    <cfRule type="containsBlanks" dxfId="546" priority="45">
      <formula>LEN(TRIM(C15))=0</formula>
    </cfRule>
  </conditionalFormatting>
  <conditionalFormatting sqref="H20:AE20 H21:W26 X21:AE28">
    <cfRule type="containsBlanks" dxfId="545" priority="13">
      <formula>LEN(TRIM(H20))=0</formula>
    </cfRule>
  </conditionalFormatting>
  <dataValidations count="1">
    <dataValidation type="list" allowBlank="1" showInputMessage="1" showErrorMessage="1" sqref="H14:W14" xr:uid="{0401321C-999D-484B-A705-D965008EB67A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82C7-0CBA-4334-8480-408B9DA229F0}">
  <sheetPr>
    <pageSetUpPr fitToPage="1"/>
  </sheetPr>
  <dimension ref="B1:AE62"/>
  <sheetViews>
    <sheetView topLeftCell="A6" zoomScale="70" zoomScaleNormal="70" workbookViewId="0">
      <selection activeCell="G10" sqref="G10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70</v>
      </c>
      <c r="D15" s="31" t="s">
        <v>238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18" si="2">ROW()-14</f>
        <v>2</v>
      </c>
      <c r="C16" s="61" t="s">
        <v>71</v>
      </c>
      <c r="D16" s="31" t="s">
        <v>196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3.75" customHeight="1" x14ac:dyDescent="0.25">
      <c r="B17" s="30">
        <f t="shared" si="2"/>
        <v>3</v>
      </c>
      <c r="C17" s="61" t="s">
        <v>72</v>
      </c>
      <c r="D17" s="31" t="s">
        <v>192</v>
      </c>
      <c r="E17" s="31" t="s">
        <v>29</v>
      </c>
      <c r="F17" s="31" t="s">
        <v>28</v>
      </c>
      <c r="G17" s="62" t="s">
        <v>56</v>
      </c>
      <c r="H17" s="34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73</v>
      </c>
      <c r="D18" s="31" t="s">
        <v>239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290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1.5" customHeight="1" x14ac:dyDescent="0.25">
      <c r="B22" s="30">
        <v>3</v>
      </c>
      <c r="C22" s="61" t="s">
        <v>74</v>
      </c>
      <c r="D22" s="31" t="s">
        <v>240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3.75" customHeight="1" x14ac:dyDescent="0.25">
      <c r="B23" s="30">
        <v>4</v>
      </c>
      <c r="C23" s="61" t="s">
        <v>74</v>
      </c>
      <c r="D23" s="31" t="s">
        <v>240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v>6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v>7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v>8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v>9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v>10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v>11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v>12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v>13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v>14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v>15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v>16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v>17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v>18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v>19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v>20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v>21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v>22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v>23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v>24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v>25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v>26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v>27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544" priority="2" stopIfTrue="1" operator="equal">
      <formula>0</formula>
    </cfRule>
  </conditionalFormatting>
  <conditionalFormatting sqref="D15:G18">
    <cfRule type="containsBlanks" dxfId="543" priority="8">
      <formula>LEN(TRIM(D15))=0</formula>
    </cfRule>
  </conditionalFormatting>
  <conditionalFormatting sqref="D20:G23">
    <cfRule type="containsBlanks" dxfId="54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541" priority="38">
      <formula>TEXT($D$9+COLUMN()-COLUMN($H$12),"ddd")="Sun"</formula>
    </cfRule>
  </conditionalFormatting>
  <conditionalFormatting sqref="H14:W14">
    <cfRule type="containsBlanks" dxfId="540" priority="15">
      <formula>LEN(TRIM(H14))=0</formula>
    </cfRule>
    <cfRule type="expression" dxfId="539" priority="16">
      <formula>EXACT(H14, "S")</formula>
    </cfRule>
    <cfRule type="expression" dxfId="538" priority="17">
      <formula>EXACT(H14, "R")</formula>
    </cfRule>
    <cfRule type="expression" dxfId="537" priority="18">
      <formula>EXACT(H14, "T")</formula>
    </cfRule>
    <cfRule type="containsText" dxfId="536" priority="19" operator="containsText" text="SH">
      <formula>NOT(ISERROR(SEARCH("SH",H14)))</formula>
    </cfRule>
    <cfRule type="expression" dxfId="535" priority="20">
      <formula>EXACT(H14, "RS")</formula>
    </cfRule>
    <cfRule type="containsText" dxfId="534" priority="21" operator="containsText" text="LH">
      <formula>NOT(ISERROR(SEARCH("LH",H14)))</formula>
    </cfRule>
    <cfRule type="expression" dxfId="533" priority="22">
      <formula>EXACT(H14, "LR")</formula>
    </cfRule>
    <cfRule type="expression" dxfId="532" priority="23">
      <formula>EXACT(H14, "L")</formula>
    </cfRule>
    <cfRule type="expression" dxfId="531" priority="24">
      <formula>EXACT(H14, "D")</formula>
    </cfRule>
    <cfRule type="expression" dxfId="530" priority="25">
      <formula>EXACT(H14, "A")</formula>
    </cfRule>
  </conditionalFormatting>
  <conditionalFormatting sqref="H15:W15">
    <cfRule type="containsBlanks" dxfId="529" priority="26">
      <formula>LEN(TRIM(H15))=0</formula>
    </cfRule>
  </conditionalFormatting>
  <conditionalFormatting sqref="H15:W46">
    <cfRule type="containsText" dxfId="528" priority="12" operator="containsText" text="12">
      <formula>NOT(ISERROR(SEARCH("12",H15)))</formula>
    </cfRule>
    <cfRule type="expression" dxfId="527" priority="13">
      <formula>H$14="LH"</formula>
    </cfRule>
    <cfRule type="expression" dxfId="526" priority="14" stopIfTrue="1">
      <formula>H$14="SH"</formula>
    </cfRule>
    <cfRule type="expression" dxfId="525" priority="27">
      <formula>EXACT(H15, "S")</formula>
    </cfRule>
    <cfRule type="expression" dxfId="524" priority="28">
      <formula>EXACT(H15, "R")</formula>
    </cfRule>
    <cfRule type="expression" dxfId="523" priority="29">
      <formula>EXACT(H15, "T")</formula>
    </cfRule>
    <cfRule type="containsText" dxfId="522" priority="30" operator="containsText" text="SH">
      <formula>NOT(ISERROR(SEARCH("SH",H15)))</formula>
    </cfRule>
    <cfRule type="expression" dxfId="521" priority="31">
      <formula>EXACT(H15, "RS")</formula>
    </cfRule>
    <cfRule type="containsText" dxfId="520" priority="32" operator="containsText" text="RH">
      <formula>NOT(ISERROR(SEARCH("RH",H15)))</formula>
    </cfRule>
    <cfRule type="expression" dxfId="519" priority="33">
      <formula>EXACT(H15, "LR")</formula>
    </cfRule>
    <cfRule type="expression" dxfId="518" priority="34">
      <formula>EXACT(H15, "L")</formula>
    </cfRule>
    <cfRule type="expression" dxfId="517" priority="35">
      <formula>EXACT(H15, "D")</formula>
    </cfRule>
    <cfRule type="expression" dxfId="516" priority="36">
      <formula>EXACT(H15, "A")</formula>
    </cfRule>
  </conditionalFormatting>
  <conditionalFormatting sqref="H15:AE18 D19:AE19 H20:AE23 C24:AE46">
    <cfRule type="containsBlanks" dxfId="515" priority="39">
      <formula>LEN(TRIM(C15))=0</formula>
    </cfRule>
  </conditionalFormatting>
  <dataValidations count="1">
    <dataValidation type="list" allowBlank="1" showInputMessage="1" showErrorMessage="1" sqref="H14:W14" xr:uid="{3696B4C3-27C5-4432-8A29-4F5FFD131493}">
      <formula1>"SH, LH"</formula1>
    </dataValidation>
  </dataValidations>
  <pageMargins left="0.7" right="0.7" top="0.75" bottom="0.75" header="0.3" footer="0.3"/>
  <pageSetup scale="45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F2E0-ECFF-4123-8EB9-8EE43C014BE7}">
  <sheetPr>
    <pageSetUpPr fitToPage="1"/>
  </sheetPr>
  <dimension ref="B1:AE64"/>
  <sheetViews>
    <sheetView topLeftCell="A11" zoomScale="80" zoomScaleNormal="80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84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76</v>
      </c>
      <c r="D15" s="31" t="s">
        <v>242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8" si="2">ROW()-14</f>
        <v>2</v>
      </c>
      <c r="C16" s="61" t="s">
        <v>77</v>
      </c>
      <c r="D16" s="31" t="s">
        <v>226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8" si="3">X16*8</f>
        <v>104</v>
      </c>
      <c r="Z16" s="34"/>
      <c r="AA16" s="34">
        <f t="shared" ref="AA16:AA48" si="4">SUM(H16:W16)-AB16-AD16-Y16</f>
        <v>0</v>
      </c>
      <c r="AB16" s="34">
        <f t="shared" ref="AB16:AB48" si="5">SUMIF($H$14:$W$14,"LH",$H16:$W16)</f>
        <v>0</v>
      </c>
      <c r="AC16" s="34"/>
      <c r="AD16" s="34">
        <f t="shared" ref="AD16:AD48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78</v>
      </c>
      <c r="D17" s="31" t="s">
        <v>241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93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79</v>
      </c>
      <c r="D18" s="31" t="s">
        <v>227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69</v>
      </c>
      <c r="D20" s="31" t="s">
        <v>290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69</v>
      </c>
      <c r="D21" s="31" t="s">
        <v>290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3</v>
      </c>
      <c r="C22" s="61" t="s">
        <v>71</v>
      </c>
      <c r="D22" s="31" t="s">
        <v>196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>
        <v>8</v>
      </c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ref="Y22" si="7">X22*8</f>
        <v>8</v>
      </c>
      <c r="Z22" s="34"/>
      <c r="AA22" s="34">
        <f t="shared" ref="AA22" si="8">SUM(H22:W22)-AB22-AD22-Y22</f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2.25" customHeight="1" x14ac:dyDescent="0.25">
      <c r="B23" s="30">
        <v>4</v>
      </c>
      <c r="C23" s="61" t="s">
        <v>74</v>
      </c>
      <c r="D23" s="31" t="s">
        <v>240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v>5</v>
      </c>
      <c r="C24" s="61" t="s">
        <v>74</v>
      </c>
      <c r="D24" s="31" t="s">
        <v>240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ref="Y24" si="9">X24*8</f>
        <v>8</v>
      </c>
      <c r="Z24" s="34"/>
      <c r="AA24" s="34">
        <f t="shared" ref="AA24" si="10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2.25" customHeight="1" x14ac:dyDescent="0.25">
      <c r="B25" s="30">
        <v>5</v>
      </c>
      <c r="C25" s="61" t="s">
        <v>91</v>
      </c>
      <c r="D25" s="31" t="s">
        <v>243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v>6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2.5" customHeight="1" thickBot="1" x14ac:dyDescent="0.3">
      <c r="B49" s="34"/>
      <c r="C49" s="31"/>
      <c r="D49" s="31"/>
      <c r="E49" s="106" t="s">
        <v>30</v>
      </c>
      <c r="F49" s="107"/>
      <c r="G49" s="9">
        <f>SUM(H49:W49)</f>
        <v>60</v>
      </c>
      <c r="H49" s="38">
        <f t="shared" ref="H49:W49" si="11">COUNTA(H15:H48)-COUNTIF(H15:H48,"A")-COUNTIF(H15:H48,"D")-COUNTIF(H15:H48,"L")</f>
        <v>4</v>
      </c>
      <c r="I49" s="39">
        <f t="shared" si="11"/>
        <v>4</v>
      </c>
      <c r="J49" s="39">
        <f t="shared" si="11"/>
        <v>4</v>
      </c>
      <c r="K49" s="39">
        <f t="shared" si="11"/>
        <v>4</v>
      </c>
      <c r="L49" s="39">
        <f t="shared" si="11"/>
        <v>4</v>
      </c>
      <c r="M49" s="39">
        <f t="shared" si="11"/>
        <v>4</v>
      </c>
      <c r="N49" s="39">
        <f t="shared" si="11"/>
        <v>4</v>
      </c>
      <c r="O49" s="39">
        <f t="shared" si="11"/>
        <v>4</v>
      </c>
      <c r="P49" s="39">
        <f t="shared" si="11"/>
        <v>4</v>
      </c>
      <c r="Q49" s="39">
        <f t="shared" si="11"/>
        <v>4</v>
      </c>
      <c r="R49" s="39">
        <f t="shared" si="11"/>
        <v>4</v>
      </c>
      <c r="S49" s="39">
        <f t="shared" si="11"/>
        <v>4</v>
      </c>
      <c r="T49" s="39">
        <f t="shared" si="11"/>
        <v>4</v>
      </c>
      <c r="U49" s="39">
        <f t="shared" si="11"/>
        <v>4</v>
      </c>
      <c r="V49" s="39">
        <f t="shared" si="11"/>
        <v>4</v>
      </c>
      <c r="W49" s="40">
        <f t="shared" si="11"/>
        <v>0</v>
      </c>
      <c r="X49" s="41">
        <f t="shared" ref="X49:AE49" si="12">SUM(X15:X48)</f>
        <v>60</v>
      </c>
      <c r="Y49" s="42">
        <f t="shared" si="12"/>
        <v>480</v>
      </c>
      <c r="Z49" s="42">
        <f t="shared" si="12"/>
        <v>0</v>
      </c>
      <c r="AA49" s="42">
        <f t="shared" si="12"/>
        <v>0</v>
      </c>
      <c r="AB49" s="42">
        <f t="shared" si="12"/>
        <v>0</v>
      </c>
      <c r="AC49" s="42">
        <f t="shared" si="12"/>
        <v>0</v>
      </c>
      <c r="AD49" s="42">
        <f t="shared" si="12"/>
        <v>0</v>
      </c>
      <c r="AE49" s="42">
        <f t="shared" si="12"/>
        <v>61</v>
      </c>
    </row>
    <row r="51" spans="2:31" ht="15.75" x14ac:dyDescent="0.25">
      <c r="B51" s="43" t="s">
        <v>31</v>
      </c>
      <c r="H51" s="118" t="s">
        <v>32</v>
      </c>
      <c r="I51" s="118"/>
      <c r="J51" s="118"/>
      <c r="K51" s="118"/>
      <c r="R51" s="118" t="s">
        <v>33</v>
      </c>
      <c r="S51" s="118"/>
      <c r="T51" s="118"/>
      <c r="U51" s="118"/>
      <c r="Z51" s="44"/>
      <c r="AA51" s="45" t="s">
        <v>34</v>
      </c>
      <c r="AB51" s="46"/>
      <c r="AC51" s="47"/>
      <c r="AD51" s="48"/>
      <c r="AE51" s="44"/>
    </row>
    <row r="52" spans="2:31" ht="15.75" x14ac:dyDescent="0.25">
      <c r="U52" s="49"/>
      <c r="Z52" s="48"/>
      <c r="AA52" s="50" t="s">
        <v>35</v>
      </c>
      <c r="AB52" s="51"/>
      <c r="AC52" s="52"/>
      <c r="AD52" s="48"/>
      <c r="AE52" s="49"/>
    </row>
    <row r="53" spans="2:31" ht="15.75" x14ac:dyDescent="0.25">
      <c r="U53" s="49"/>
      <c r="Z53" s="48"/>
      <c r="AA53" s="50" t="s">
        <v>36</v>
      </c>
      <c r="AB53" s="51"/>
      <c r="AC53" s="52"/>
      <c r="AD53" s="48"/>
      <c r="AE53" s="49"/>
    </row>
    <row r="54" spans="2:31" ht="15.75" x14ac:dyDescent="0.25">
      <c r="B54" s="119" t="s">
        <v>291</v>
      </c>
      <c r="C54" s="119"/>
      <c r="D54" s="119"/>
      <c r="E54" s="53"/>
      <c r="F54" s="53"/>
      <c r="G54" s="53"/>
      <c r="H54" s="119" t="s">
        <v>292</v>
      </c>
      <c r="I54" s="119"/>
      <c r="J54" s="119"/>
      <c r="K54" s="119"/>
      <c r="L54" s="119"/>
      <c r="M54" s="119"/>
      <c r="N54" s="119"/>
      <c r="O54" s="54"/>
      <c r="P54" s="54"/>
      <c r="Q54" s="54"/>
      <c r="R54" s="119" t="s">
        <v>293</v>
      </c>
      <c r="S54" s="119"/>
      <c r="T54" s="119"/>
      <c r="U54" s="119"/>
      <c r="V54" s="119"/>
      <c r="W54" s="119"/>
      <c r="X54" s="119"/>
      <c r="Z54" s="48"/>
      <c r="AA54" s="50" t="s">
        <v>37</v>
      </c>
      <c r="AB54" s="51"/>
      <c r="AC54" s="52"/>
      <c r="AD54" s="48"/>
      <c r="AE54" s="49"/>
    </row>
    <row r="55" spans="2:31" ht="15.75" customHeight="1" x14ac:dyDescent="0.25">
      <c r="B55" s="116" t="s">
        <v>25</v>
      </c>
      <c r="C55" s="116"/>
      <c r="D55" s="116"/>
      <c r="H55" s="117" t="s">
        <v>38</v>
      </c>
      <c r="I55" s="117"/>
      <c r="J55" s="117"/>
      <c r="K55" s="117"/>
      <c r="L55" s="117"/>
      <c r="M55" s="117"/>
      <c r="N55" s="117"/>
      <c r="O55" s="10"/>
      <c r="P55" s="10"/>
      <c r="Q55" s="10"/>
      <c r="R55" s="117" t="s">
        <v>39</v>
      </c>
      <c r="S55" s="117"/>
      <c r="T55" s="117"/>
      <c r="U55" s="117"/>
      <c r="V55" s="117"/>
      <c r="W55" s="117"/>
      <c r="X55" s="117"/>
      <c r="Z55" s="48"/>
      <c r="AA55" s="50" t="s">
        <v>40</v>
      </c>
      <c r="AB55" s="50"/>
      <c r="AC55" s="48"/>
      <c r="AD55" s="48"/>
      <c r="AE55" s="49"/>
    </row>
    <row r="56" spans="2:31" ht="15.75" x14ac:dyDescent="0.25">
      <c r="U56" s="49"/>
      <c r="Z56" s="48"/>
      <c r="AA56" s="50" t="s">
        <v>41</v>
      </c>
      <c r="AB56" s="51"/>
      <c r="AC56" s="52"/>
      <c r="AD56" s="48"/>
      <c r="AE56" s="49"/>
    </row>
    <row r="57" spans="2:31" ht="15.75" x14ac:dyDescent="0.25">
      <c r="U57" s="49"/>
      <c r="Z57" s="48"/>
      <c r="AA57" s="50" t="s">
        <v>42</v>
      </c>
      <c r="AB57" s="51"/>
      <c r="AC57" s="52"/>
      <c r="AD57" s="48"/>
      <c r="AE57" s="49"/>
    </row>
    <row r="58" spans="2:31" ht="15.75" x14ac:dyDescent="0.25">
      <c r="B58" s="55"/>
      <c r="C58" s="55"/>
      <c r="D58" s="55"/>
      <c r="E58" s="55"/>
      <c r="F58" s="55"/>
      <c r="G58" s="55"/>
      <c r="H58" s="55"/>
      <c r="I58" s="49"/>
      <c r="J58" s="49"/>
      <c r="K58" s="55"/>
      <c r="L58" s="55"/>
      <c r="M58" s="49"/>
      <c r="U58" s="50"/>
      <c r="Z58" s="48"/>
      <c r="AA58" s="50" t="s">
        <v>43</v>
      </c>
      <c r="AB58" s="50"/>
      <c r="AC58" s="48"/>
      <c r="AD58" s="48"/>
      <c r="AE58" s="49"/>
    </row>
    <row r="59" spans="2:31" ht="15.75" x14ac:dyDescent="0.25">
      <c r="B59" s="55" t="s">
        <v>44</v>
      </c>
      <c r="C59" s="45"/>
      <c r="D59" s="45"/>
      <c r="E59" s="45"/>
      <c r="F59" s="45"/>
      <c r="G59" s="45"/>
      <c r="H59" s="45"/>
      <c r="I59" s="45"/>
      <c r="J59" s="50"/>
      <c r="K59" s="50"/>
      <c r="L59" s="45"/>
      <c r="M59" s="45"/>
      <c r="N59" s="49"/>
      <c r="O59" s="55"/>
      <c r="U59" s="49"/>
      <c r="Z59" s="48"/>
      <c r="AA59" s="50" t="s">
        <v>45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45"/>
      <c r="M60" s="45"/>
      <c r="N60" s="49"/>
      <c r="O60" s="55"/>
      <c r="U60" s="49"/>
      <c r="Z60" s="48"/>
      <c r="AA60" s="50" t="s">
        <v>46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49"/>
      <c r="O61" s="55"/>
      <c r="U61" s="49"/>
      <c r="Z61" s="48"/>
      <c r="AA61" s="56" t="s">
        <v>47</v>
      </c>
      <c r="AB61" s="57"/>
      <c r="AC61" s="58"/>
      <c r="AD61" s="48"/>
      <c r="AE61" s="49"/>
    </row>
    <row r="62" spans="2:31" ht="15.75" x14ac:dyDescent="0.25">
      <c r="U62" s="49"/>
      <c r="Z62" s="58"/>
      <c r="AA62" s="56" t="s">
        <v>48</v>
      </c>
      <c r="AB62" s="57"/>
      <c r="AC62" s="58"/>
      <c r="AD62" s="58"/>
      <c r="AE62" s="59"/>
    </row>
    <row r="63" spans="2:31" ht="15.75" x14ac:dyDescent="0.25">
      <c r="B63" s="43"/>
      <c r="C63" s="43"/>
      <c r="D63" s="43"/>
      <c r="E63" s="43"/>
      <c r="F63" s="43"/>
      <c r="G63" s="43"/>
      <c r="H63" s="43"/>
      <c r="I63" s="43"/>
      <c r="U63" s="60"/>
      <c r="Z63" s="58"/>
      <c r="AD63" s="58"/>
      <c r="AE63" s="59"/>
    </row>
    <row r="64" spans="2:31" ht="15.75" x14ac:dyDescent="0.25">
      <c r="U64" s="60"/>
      <c r="Z64" s="58"/>
      <c r="AD64" s="58"/>
      <c r="AE64" s="59"/>
    </row>
  </sheetData>
  <mergeCells count="29">
    <mergeCell ref="B55:D55"/>
    <mergeCell ref="H55:N55"/>
    <mergeCell ref="R55:X55"/>
    <mergeCell ref="E49:F49"/>
    <mergeCell ref="H51:K51"/>
    <mergeCell ref="R51:U51"/>
    <mergeCell ref="B54:D54"/>
    <mergeCell ref="H54:N54"/>
    <mergeCell ref="R54:X54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514" priority="2" stopIfTrue="1" operator="equal">
      <formula>0</formula>
    </cfRule>
  </conditionalFormatting>
  <conditionalFormatting sqref="D15:G18">
    <cfRule type="containsBlanks" dxfId="513" priority="11">
      <formula>LEN(TRIM(D15))=0</formula>
    </cfRule>
  </conditionalFormatting>
  <conditionalFormatting sqref="D20:G25">
    <cfRule type="containsBlanks" dxfId="512" priority="1">
      <formula>LEN(TRIM(D20))=0</formula>
    </cfRule>
  </conditionalFormatting>
  <conditionalFormatting sqref="H12:W12">
    <cfRule type="expression" priority="41">
      <formula>TEXT($D$9+COLUMN()-COLUMN($H$12),"ddd")="Sun"</formula>
    </cfRule>
    <cfRule type="expression" dxfId="511" priority="42">
      <formula>TEXT($D$9+COLUMN()-COLUMN($H$12),"ddd")="Sun"</formula>
    </cfRule>
  </conditionalFormatting>
  <conditionalFormatting sqref="H14:W14">
    <cfRule type="containsBlanks" dxfId="510" priority="19">
      <formula>LEN(TRIM(H14))=0</formula>
    </cfRule>
    <cfRule type="expression" dxfId="509" priority="20">
      <formula>EXACT(H14, "S")</formula>
    </cfRule>
    <cfRule type="expression" dxfId="508" priority="21">
      <formula>EXACT(H14, "R")</formula>
    </cfRule>
    <cfRule type="expression" dxfId="507" priority="22">
      <formula>EXACT(H14, "T")</formula>
    </cfRule>
    <cfRule type="containsText" dxfId="506" priority="23" operator="containsText" text="SH">
      <formula>NOT(ISERROR(SEARCH("SH",H14)))</formula>
    </cfRule>
    <cfRule type="expression" dxfId="505" priority="24">
      <formula>EXACT(H14, "RS")</formula>
    </cfRule>
    <cfRule type="containsText" dxfId="504" priority="25" operator="containsText" text="LH">
      <formula>NOT(ISERROR(SEARCH("LH",H14)))</formula>
    </cfRule>
    <cfRule type="expression" dxfId="503" priority="26">
      <formula>EXACT(H14, "LR")</formula>
    </cfRule>
    <cfRule type="expression" dxfId="502" priority="27">
      <formula>EXACT(H14, "L")</formula>
    </cfRule>
    <cfRule type="expression" dxfId="501" priority="28">
      <formula>EXACT(H14, "D")</formula>
    </cfRule>
    <cfRule type="expression" dxfId="500" priority="29">
      <formula>EXACT(H14, "A")</formula>
    </cfRule>
  </conditionalFormatting>
  <conditionalFormatting sqref="H15:W15">
    <cfRule type="containsBlanks" dxfId="499" priority="30">
      <formula>LEN(TRIM(H15))=0</formula>
    </cfRule>
  </conditionalFormatting>
  <conditionalFormatting sqref="H15:W48">
    <cfRule type="containsText" dxfId="498" priority="16" operator="containsText" text="12">
      <formula>NOT(ISERROR(SEARCH("12",H15)))</formula>
    </cfRule>
    <cfRule type="expression" dxfId="497" priority="17">
      <formula>H$14="LH"</formula>
    </cfRule>
    <cfRule type="expression" dxfId="496" priority="18" stopIfTrue="1">
      <formula>H$14="SH"</formula>
    </cfRule>
    <cfRule type="expression" dxfId="495" priority="31">
      <formula>EXACT(H15, "S")</formula>
    </cfRule>
    <cfRule type="expression" dxfId="494" priority="32">
      <formula>EXACT(H15, "R")</formula>
    </cfRule>
    <cfRule type="expression" dxfId="493" priority="33">
      <formula>EXACT(H15, "T")</formula>
    </cfRule>
    <cfRule type="containsText" dxfId="492" priority="34" operator="containsText" text="SH">
      <formula>NOT(ISERROR(SEARCH("SH",H15)))</formula>
    </cfRule>
    <cfRule type="expression" dxfId="491" priority="35">
      <formula>EXACT(H15, "RS")</formula>
    </cfRule>
    <cfRule type="containsText" dxfId="490" priority="36" operator="containsText" text="RH">
      <formula>NOT(ISERROR(SEARCH("RH",H15)))</formula>
    </cfRule>
    <cfRule type="expression" dxfId="489" priority="37">
      <formula>EXACT(H15, "LR")</formula>
    </cfRule>
    <cfRule type="expression" dxfId="488" priority="38">
      <formula>EXACT(H15, "L")</formula>
    </cfRule>
    <cfRule type="expression" dxfId="487" priority="39">
      <formula>EXACT(H15, "D")</formula>
    </cfRule>
    <cfRule type="expression" dxfId="486" priority="40">
      <formula>EXACT(H15, "A")</formula>
    </cfRule>
  </conditionalFormatting>
  <conditionalFormatting sqref="H15:AE18 D19:AE19 H20:AE25 C26:AE48">
    <cfRule type="containsBlanks" dxfId="485" priority="43">
      <formula>LEN(TRIM(C15))=0</formula>
    </cfRule>
  </conditionalFormatting>
  <dataValidations count="1">
    <dataValidation type="list" allowBlank="1" showInputMessage="1" showErrorMessage="1" sqref="H14:W14" xr:uid="{ADB4CE16-1A40-4245-B991-8FB3838EE6D7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B052-3229-4BE1-A96E-350AC239D4A8}">
  <sheetPr>
    <pageSetUpPr fitToPage="1"/>
  </sheetPr>
  <dimension ref="B1:AE65"/>
  <sheetViews>
    <sheetView view="pageBreakPreview" topLeftCell="A12" zoomScale="85" zoomScaleNormal="90" zoomScaleSheetLayoutView="85" workbookViewId="0">
      <selection activeCell="D24" sqref="D24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87</v>
      </c>
      <c r="D15" s="31" t="s">
        <v>198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93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 t="s">
        <v>93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11</v>
      </c>
      <c r="Y15" s="34">
        <f>X15*8</f>
        <v>88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4.95" customHeight="1" x14ac:dyDescent="0.25">
      <c r="B16" s="30">
        <f t="shared" ref="B16:B49" si="2">ROW()-14</f>
        <v>2</v>
      </c>
      <c r="C16" s="61" t="s">
        <v>88</v>
      </c>
      <c r="D16" s="31" t="s">
        <v>244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 t="s">
        <v>75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11</v>
      </c>
      <c r="Y16" s="34">
        <f t="shared" ref="Y16:Y49" si="3">X16*8</f>
        <v>88</v>
      </c>
      <c r="Z16" s="34"/>
      <c r="AA16" s="34">
        <f t="shared" ref="AA16:AA49" si="4">SUM(H16:W16)-AB16-AD16-Y16</f>
        <v>0</v>
      </c>
      <c r="AB16" s="34">
        <f t="shared" ref="AB16:AB49" si="5">SUMIF($H$14:$W$14,"LH",$H16:$W16)</f>
        <v>0</v>
      </c>
      <c r="AC16" s="34"/>
      <c r="AD16" s="34">
        <f t="shared" ref="AD16:AD49" si="6">SUMIF($H$14:$W$14,"SH",$H16:$W16)</f>
        <v>0</v>
      </c>
      <c r="AE16" s="88">
        <v>11</v>
      </c>
    </row>
    <row r="17" spans="2:31" ht="36" customHeight="1" x14ac:dyDescent="0.25">
      <c r="B17" s="30">
        <f t="shared" si="2"/>
        <v>3</v>
      </c>
      <c r="C17" s="61" t="s">
        <v>89</v>
      </c>
      <c r="D17" s="31" t="s">
        <v>197</v>
      </c>
      <c r="E17" s="31" t="s">
        <v>29</v>
      </c>
      <c r="F17" s="31" t="s">
        <v>28</v>
      </c>
      <c r="G17" s="62" t="s">
        <v>56</v>
      </c>
      <c r="H17" s="33" t="s">
        <v>93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6">
        <v>12</v>
      </c>
      <c r="Y17" s="34">
        <f t="shared" si="3"/>
        <v>96</v>
      </c>
      <c r="Z17" s="34"/>
      <c r="AA17" s="34">
        <f t="shared" si="4"/>
        <v>8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90</v>
      </c>
      <c r="D18" s="31" t="s">
        <v>245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147</v>
      </c>
      <c r="D20" s="31" t="s">
        <v>262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ref="Y20:Y21" si="7">X20*8</f>
        <v>8</v>
      </c>
      <c r="Z20" s="34"/>
      <c r="AA20" s="34"/>
      <c r="AB20" s="34"/>
      <c r="AC20" s="34"/>
      <c r="AD20" s="34"/>
      <c r="AE20" s="88"/>
    </row>
    <row r="21" spans="2:31" ht="24.95" customHeight="1" x14ac:dyDescent="0.25">
      <c r="B21" s="30">
        <v>2</v>
      </c>
      <c r="C21" s="89" t="s">
        <v>90</v>
      </c>
      <c r="D21" s="31" t="s">
        <v>245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7"/>
        <v>8</v>
      </c>
      <c r="Z21" s="34"/>
      <c r="AA21" s="34">
        <f t="shared" ref="AA21" si="8">SUM(H21:W21)-AB21-AD21-Y21</f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v>2</v>
      </c>
      <c r="C22" s="61" t="s">
        <v>91</v>
      </c>
      <c r="D22" s="31" t="s">
        <v>243</v>
      </c>
      <c r="E22" s="31" t="s">
        <v>29</v>
      </c>
      <c r="F22" s="31" t="s">
        <v>26</v>
      </c>
      <c r="G22" s="62" t="s">
        <v>54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v>3</v>
      </c>
      <c r="C23" s="61" t="s">
        <v>91</v>
      </c>
      <c r="D23" s="31" t="s">
        <v>243</v>
      </c>
      <c r="E23" s="31" t="s">
        <v>29</v>
      </c>
      <c r="F23" s="31" t="s">
        <v>26</v>
      </c>
      <c r="G23" s="62" t="s">
        <v>55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customHeight="1" x14ac:dyDescent="0.25">
      <c r="B24" s="30">
        <v>4</v>
      </c>
      <c r="C24" s="61" t="s">
        <v>300</v>
      </c>
      <c r="D24" s="31" t="s">
        <v>235</v>
      </c>
      <c r="E24" s="31" t="s">
        <v>29</v>
      </c>
      <c r="F24" s="31" t="s">
        <v>26</v>
      </c>
      <c r="G24" s="62" t="s">
        <v>55</v>
      </c>
      <c r="H24" s="33"/>
      <c r="I24" s="34"/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24.95" customHeight="1" x14ac:dyDescent="0.25">
      <c r="B25" s="30"/>
      <c r="C25" s="61" t="s">
        <v>296</v>
      </c>
      <c r="D25" s="31" t="s">
        <v>297</v>
      </c>
      <c r="E25" s="31" t="s">
        <v>29</v>
      </c>
      <c r="F25" s="31" t="s">
        <v>28</v>
      </c>
      <c r="G25" s="62" t="s">
        <v>56</v>
      </c>
      <c r="H25" s="33">
        <v>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/>
      <c r="AB25" s="34"/>
      <c r="AC25" s="34"/>
      <c r="AD25" s="34"/>
      <c r="AE25" s="88"/>
    </row>
    <row r="26" spans="2:31" ht="32.25" customHeight="1" x14ac:dyDescent="0.25">
      <c r="B26" s="30">
        <v>5</v>
      </c>
      <c r="C26" s="61" t="s">
        <v>74</v>
      </c>
      <c r="D26" s="31" t="s">
        <v>240</v>
      </c>
      <c r="E26" s="31" t="s">
        <v>29</v>
      </c>
      <c r="F26" s="31" t="s">
        <v>28</v>
      </c>
      <c r="G26" s="62" t="s">
        <v>56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2</v>
      </c>
      <c r="Y26" s="34">
        <f t="shared" si="3"/>
        <v>16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34.5" customHeight="1" x14ac:dyDescent="0.25">
      <c r="B27" s="30">
        <v>6</v>
      </c>
      <c r="C27" s="61" t="s">
        <v>74</v>
      </c>
      <c r="D27" s="31" t="s">
        <v>240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>
        <v>8</v>
      </c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v>7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4.95" hidden="1" customHeight="1" x14ac:dyDescent="0.25">
      <c r="B48" s="30">
        <f t="shared" si="2"/>
        <v>34</v>
      </c>
      <c r="C48" s="31"/>
      <c r="D48" s="31"/>
      <c r="E48" s="31"/>
      <c r="F48" s="31"/>
      <c r="G48" s="32"/>
      <c r="H48" s="33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5"/>
      <c r="X48" s="36" cm="1">
        <f t="array" ref="X48">SUMPRODUCT(--ISNUMBER(H48:W48), --($H$14:$W$14&lt;&gt;"LH"), --($H$14:$W$14&lt;&gt;"SH"))</f>
        <v>0</v>
      </c>
      <c r="Y48" s="34">
        <f t="shared" si="3"/>
        <v>0</v>
      </c>
      <c r="Z48" s="34"/>
      <c r="AA48" s="34">
        <f t="shared" si="4"/>
        <v>0</v>
      </c>
      <c r="AB48" s="34">
        <f t="shared" si="5"/>
        <v>0</v>
      </c>
      <c r="AC48" s="34"/>
      <c r="AD48" s="34">
        <f t="shared" si="6"/>
        <v>0</v>
      </c>
      <c r="AE48" s="37"/>
    </row>
    <row r="49" spans="2:31" ht="24.95" hidden="1" customHeight="1" x14ac:dyDescent="0.25">
      <c r="B49" s="30">
        <f t="shared" si="2"/>
        <v>35</v>
      </c>
      <c r="C49" s="31"/>
      <c r="D49" s="31"/>
      <c r="E49" s="31"/>
      <c r="F49" s="31"/>
      <c r="G49" s="32"/>
      <c r="H49" s="33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6" cm="1">
        <f t="array" ref="X49">SUMPRODUCT(--ISNUMBER(H49:W49), --($H$14:$W$14&lt;&gt;"LH"), --($H$14:$W$14&lt;&gt;"SH"))</f>
        <v>0</v>
      </c>
      <c r="Y49" s="34">
        <f t="shared" si="3"/>
        <v>0</v>
      </c>
      <c r="Z49" s="34"/>
      <c r="AA49" s="34">
        <f t="shared" si="4"/>
        <v>0</v>
      </c>
      <c r="AB49" s="34">
        <f t="shared" si="5"/>
        <v>0</v>
      </c>
      <c r="AC49" s="34"/>
      <c r="AD49" s="34">
        <f t="shared" si="6"/>
        <v>0</v>
      </c>
      <c r="AE49" s="37"/>
    </row>
    <row r="50" spans="2:31" ht="22.5" customHeight="1" thickBot="1" x14ac:dyDescent="0.3">
      <c r="B50" s="34"/>
      <c r="C50" s="31"/>
      <c r="D50" s="31"/>
      <c r="E50" s="106" t="s">
        <v>30</v>
      </c>
      <c r="F50" s="107"/>
      <c r="G50" s="9">
        <f>SUM(H50:W50)</f>
        <v>61</v>
      </c>
      <c r="H50" s="38">
        <f t="shared" ref="H50:W50" si="9">COUNTA(H15:H49)-COUNTIF(H15:H49,"A")-COUNTIF(H15:H49,"D")-COUNTIF(H15:H49,"L")</f>
        <v>4</v>
      </c>
      <c r="I50" s="39">
        <f t="shared" si="9"/>
        <v>4</v>
      </c>
      <c r="J50" s="39">
        <f t="shared" si="9"/>
        <v>4</v>
      </c>
      <c r="K50" s="39">
        <f t="shared" si="9"/>
        <v>4</v>
      </c>
      <c r="L50" s="39">
        <f t="shared" si="9"/>
        <v>4</v>
      </c>
      <c r="M50" s="39">
        <f t="shared" si="9"/>
        <v>4</v>
      </c>
      <c r="N50" s="39">
        <f t="shared" si="9"/>
        <v>4</v>
      </c>
      <c r="O50" s="39">
        <f t="shared" si="9"/>
        <v>4</v>
      </c>
      <c r="P50" s="39">
        <f t="shared" si="9"/>
        <v>4</v>
      </c>
      <c r="Q50" s="39">
        <f t="shared" si="9"/>
        <v>4</v>
      </c>
      <c r="R50" s="39">
        <f t="shared" si="9"/>
        <v>4</v>
      </c>
      <c r="S50" s="39">
        <f t="shared" si="9"/>
        <v>4</v>
      </c>
      <c r="T50" s="39">
        <f t="shared" si="9"/>
        <v>4</v>
      </c>
      <c r="U50" s="39">
        <f t="shared" si="9"/>
        <v>4</v>
      </c>
      <c r="V50" s="39">
        <f t="shared" si="9"/>
        <v>4</v>
      </c>
      <c r="W50" s="40">
        <f t="shared" si="9"/>
        <v>1</v>
      </c>
      <c r="X50" s="41">
        <f t="shared" ref="X50:AE50" si="10">SUM(X15:X49)</f>
        <v>60</v>
      </c>
      <c r="Y50" s="42">
        <f t="shared" si="10"/>
        <v>480</v>
      </c>
      <c r="Z50" s="42">
        <f t="shared" si="10"/>
        <v>0</v>
      </c>
      <c r="AA50" s="42">
        <f t="shared" si="10"/>
        <v>8</v>
      </c>
      <c r="AB50" s="42">
        <f t="shared" si="10"/>
        <v>0</v>
      </c>
      <c r="AC50" s="42">
        <f t="shared" si="10"/>
        <v>0</v>
      </c>
      <c r="AD50" s="42">
        <f t="shared" si="10"/>
        <v>0</v>
      </c>
      <c r="AE50" s="42">
        <f t="shared" si="10"/>
        <v>60</v>
      </c>
    </row>
    <row r="52" spans="2:31" ht="15.75" x14ac:dyDescent="0.25">
      <c r="B52" s="43" t="s">
        <v>31</v>
      </c>
      <c r="H52" s="118" t="s">
        <v>32</v>
      </c>
      <c r="I52" s="118"/>
      <c r="J52" s="118"/>
      <c r="K52" s="118"/>
      <c r="R52" s="118" t="s">
        <v>33</v>
      </c>
      <c r="S52" s="118"/>
      <c r="T52" s="118"/>
      <c r="U52" s="118"/>
      <c r="Z52" s="44"/>
      <c r="AA52" s="45" t="s">
        <v>34</v>
      </c>
      <c r="AB52" s="46"/>
      <c r="AC52" s="47"/>
      <c r="AD52" s="48"/>
      <c r="AE52" s="44"/>
    </row>
    <row r="53" spans="2:31" ht="15.75" x14ac:dyDescent="0.25">
      <c r="U53" s="49"/>
      <c r="Z53" s="48"/>
      <c r="AA53" s="50" t="s">
        <v>35</v>
      </c>
      <c r="AB53" s="51"/>
      <c r="AC53" s="52"/>
      <c r="AD53" s="48"/>
      <c r="AE53" s="49"/>
    </row>
    <row r="54" spans="2:31" ht="15.75" x14ac:dyDescent="0.25">
      <c r="U54" s="49"/>
      <c r="Z54" s="48"/>
      <c r="AA54" s="50" t="s">
        <v>36</v>
      </c>
      <c r="AB54" s="51"/>
      <c r="AC54" s="52"/>
      <c r="AD54" s="48"/>
      <c r="AE54" s="49"/>
    </row>
    <row r="55" spans="2:31" ht="15.75" x14ac:dyDescent="0.25">
      <c r="B55" s="119" t="s">
        <v>291</v>
      </c>
      <c r="C55" s="119"/>
      <c r="D55" s="119"/>
      <c r="E55" s="53"/>
      <c r="F55" s="53"/>
      <c r="G55" s="53"/>
      <c r="H55" s="119" t="s">
        <v>292</v>
      </c>
      <c r="I55" s="119"/>
      <c r="J55" s="119"/>
      <c r="K55" s="119"/>
      <c r="L55" s="119"/>
      <c r="M55" s="119"/>
      <c r="N55" s="119"/>
      <c r="O55" s="54"/>
      <c r="P55" s="54"/>
      <c r="Q55" s="54"/>
      <c r="R55" s="119" t="s">
        <v>293</v>
      </c>
      <c r="S55" s="119"/>
      <c r="T55" s="119"/>
      <c r="U55" s="119"/>
      <c r="V55" s="119"/>
      <c r="W55" s="119"/>
      <c r="X55" s="119"/>
      <c r="Z55" s="48"/>
      <c r="AA55" s="50" t="s">
        <v>37</v>
      </c>
      <c r="AB55" s="51"/>
      <c r="AC55" s="52"/>
      <c r="AD55" s="48"/>
      <c r="AE55" s="49"/>
    </row>
    <row r="56" spans="2:31" ht="15.75" customHeight="1" x14ac:dyDescent="0.25">
      <c r="B56" s="116" t="s">
        <v>25</v>
      </c>
      <c r="C56" s="116"/>
      <c r="D56" s="116"/>
      <c r="H56" s="117" t="s">
        <v>38</v>
      </c>
      <c r="I56" s="117"/>
      <c r="J56" s="117"/>
      <c r="K56" s="117"/>
      <c r="L56" s="117"/>
      <c r="M56" s="117"/>
      <c r="N56" s="117"/>
      <c r="O56" s="10"/>
      <c r="P56" s="10"/>
      <c r="Q56" s="10"/>
      <c r="R56" s="117" t="s">
        <v>39</v>
      </c>
      <c r="S56" s="117"/>
      <c r="T56" s="117"/>
      <c r="U56" s="117"/>
      <c r="V56" s="117"/>
      <c r="W56" s="117"/>
      <c r="X56" s="117"/>
      <c r="Z56" s="48"/>
      <c r="AA56" s="50" t="s">
        <v>40</v>
      </c>
      <c r="AB56" s="50"/>
      <c r="AC56" s="48"/>
      <c r="AD56" s="48"/>
      <c r="AE56" s="49"/>
    </row>
    <row r="57" spans="2:31" ht="15.75" x14ac:dyDescent="0.25">
      <c r="U57" s="49"/>
      <c r="Z57" s="48"/>
      <c r="AA57" s="50" t="s">
        <v>41</v>
      </c>
      <c r="AB57" s="51"/>
      <c r="AC57" s="52"/>
      <c r="AD57" s="48"/>
      <c r="AE57" s="49"/>
    </row>
    <row r="58" spans="2:31" ht="15.75" x14ac:dyDescent="0.25">
      <c r="U58" s="49"/>
      <c r="Z58" s="48"/>
      <c r="AA58" s="50" t="s">
        <v>42</v>
      </c>
      <c r="AB58" s="51"/>
      <c r="AC58" s="52"/>
      <c r="AD58" s="48"/>
      <c r="AE58" s="49"/>
    </row>
    <row r="59" spans="2:31" ht="15.75" x14ac:dyDescent="0.25">
      <c r="B59" s="55"/>
      <c r="C59" s="55"/>
      <c r="D59" s="55"/>
      <c r="E59" s="55"/>
      <c r="F59" s="55"/>
      <c r="G59" s="55"/>
      <c r="H59" s="55"/>
      <c r="I59" s="49"/>
      <c r="J59" s="49"/>
      <c r="K59" s="55"/>
      <c r="L59" s="55"/>
      <c r="M59" s="49"/>
      <c r="U59" s="50"/>
      <c r="Z59" s="48"/>
      <c r="AA59" s="50" t="s">
        <v>43</v>
      </c>
      <c r="AB59" s="50"/>
      <c r="AC59" s="48"/>
      <c r="AD59" s="48"/>
      <c r="AE59" s="49"/>
    </row>
    <row r="60" spans="2:31" ht="15.75" x14ac:dyDescent="0.25">
      <c r="B60" s="55" t="s">
        <v>44</v>
      </c>
      <c r="C60" s="45"/>
      <c r="D60" s="45"/>
      <c r="E60" s="45"/>
      <c r="F60" s="45"/>
      <c r="G60" s="45"/>
      <c r="H60" s="45"/>
      <c r="I60" s="45"/>
      <c r="J60" s="50"/>
      <c r="K60" s="50"/>
      <c r="L60" s="45"/>
      <c r="M60" s="45"/>
      <c r="N60" s="49"/>
      <c r="O60" s="55"/>
      <c r="U60" s="49"/>
      <c r="Z60" s="48"/>
      <c r="AA60" s="50" t="s">
        <v>45</v>
      </c>
      <c r="AB60" s="50"/>
      <c r="AC60" s="48"/>
      <c r="AD60" s="48"/>
      <c r="AE60" s="49"/>
    </row>
    <row r="61" spans="2:31" ht="15.75" x14ac:dyDescent="0.25">
      <c r="B61" s="49"/>
      <c r="C61" s="45"/>
      <c r="D61" s="50"/>
      <c r="E61" s="50"/>
      <c r="F61" s="50"/>
      <c r="G61" s="50"/>
      <c r="H61" s="50"/>
      <c r="I61" s="50"/>
      <c r="J61" s="50"/>
      <c r="K61" s="50"/>
      <c r="L61" s="45"/>
      <c r="M61" s="45"/>
      <c r="N61" s="49"/>
      <c r="O61" s="55"/>
      <c r="U61" s="49"/>
      <c r="Z61" s="48"/>
      <c r="AA61" s="50" t="s">
        <v>46</v>
      </c>
      <c r="AB61" s="50"/>
      <c r="AC61" s="48"/>
      <c r="AD61" s="48"/>
      <c r="AE61" s="49"/>
    </row>
    <row r="62" spans="2:31" ht="15.75" x14ac:dyDescent="0.25">
      <c r="B62" s="49"/>
      <c r="C62" s="45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49"/>
      <c r="O62" s="55"/>
      <c r="U62" s="49"/>
      <c r="Z62" s="48"/>
      <c r="AA62" s="56" t="s">
        <v>47</v>
      </c>
      <c r="AB62" s="57"/>
      <c r="AC62" s="58"/>
      <c r="AD62" s="48"/>
      <c r="AE62" s="49"/>
    </row>
    <row r="63" spans="2:31" ht="15.75" x14ac:dyDescent="0.25">
      <c r="U63" s="49"/>
      <c r="Z63" s="58"/>
      <c r="AA63" s="56" t="s">
        <v>48</v>
      </c>
      <c r="AB63" s="57"/>
      <c r="AC63" s="58"/>
      <c r="AD63" s="58"/>
      <c r="AE63" s="59"/>
    </row>
    <row r="64" spans="2:31" ht="15.75" x14ac:dyDescent="0.25">
      <c r="B64" s="43"/>
      <c r="C64" s="43"/>
      <c r="D64" s="43"/>
      <c r="E64" s="43"/>
      <c r="F64" s="43"/>
      <c r="G64" s="43"/>
      <c r="H64" s="43"/>
      <c r="I64" s="43"/>
      <c r="U64" s="60"/>
      <c r="Z64" s="58"/>
      <c r="AD64" s="58"/>
      <c r="AE64" s="59"/>
    </row>
    <row r="65" spans="21:31" ht="15.75" x14ac:dyDescent="0.25">
      <c r="U65" s="60"/>
      <c r="Z65" s="58"/>
      <c r="AD65" s="58"/>
      <c r="AE65" s="59"/>
    </row>
  </sheetData>
  <mergeCells count="29">
    <mergeCell ref="B56:D56"/>
    <mergeCell ref="H56:N56"/>
    <mergeCell ref="R56:X56"/>
    <mergeCell ref="E50:F50"/>
    <mergeCell ref="H52:K52"/>
    <mergeCell ref="R52:U52"/>
    <mergeCell ref="B55:D55"/>
    <mergeCell ref="H55:N55"/>
    <mergeCell ref="R55:X55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484" priority="4" stopIfTrue="1" operator="equal">
      <formula>0</formula>
    </cfRule>
  </conditionalFormatting>
  <conditionalFormatting sqref="D15:G18">
    <cfRule type="containsBlanks" dxfId="483" priority="13">
      <formula>LEN(TRIM(D15))=0</formula>
    </cfRule>
  </conditionalFormatting>
  <conditionalFormatting sqref="D20:G27">
    <cfRule type="containsBlanks" dxfId="482" priority="1">
      <formula>LEN(TRIM(D20))=0</formula>
    </cfRule>
  </conditionalFormatting>
  <conditionalFormatting sqref="H12:W12">
    <cfRule type="expression" priority="45">
      <formula>TEXT($D$9+COLUMN()-COLUMN($H$12),"ddd")="Sun"</formula>
    </cfRule>
    <cfRule type="expression" dxfId="481" priority="46">
      <formula>TEXT($D$9+COLUMN()-COLUMN($H$12),"ddd")="Sun"</formula>
    </cfRule>
  </conditionalFormatting>
  <conditionalFormatting sqref="H14:W14">
    <cfRule type="containsBlanks" dxfId="480" priority="23">
      <formula>LEN(TRIM(H14))=0</formula>
    </cfRule>
    <cfRule type="expression" dxfId="479" priority="24">
      <formula>EXACT(H14, "S")</formula>
    </cfRule>
    <cfRule type="expression" dxfId="478" priority="25">
      <formula>EXACT(H14, "R")</formula>
    </cfRule>
    <cfRule type="expression" dxfId="477" priority="26">
      <formula>EXACT(H14, "T")</formula>
    </cfRule>
    <cfRule type="containsText" dxfId="476" priority="27" operator="containsText" text="SH">
      <formula>NOT(ISERROR(SEARCH("SH",H14)))</formula>
    </cfRule>
    <cfRule type="expression" dxfId="475" priority="28">
      <formula>EXACT(H14, "RS")</formula>
    </cfRule>
    <cfRule type="containsText" dxfId="474" priority="29" operator="containsText" text="LH">
      <formula>NOT(ISERROR(SEARCH("LH",H14)))</formula>
    </cfRule>
    <cfRule type="expression" dxfId="473" priority="30">
      <formula>EXACT(H14, "LR")</formula>
    </cfRule>
    <cfRule type="expression" dxfId="472" priority="31">
      <formula>EXACT(H14, "L")</formula>
    </cfRule>
    <cfRule type="expression" dxfId="471" priority="32">
      <formula>EXACT(H14, "D")</formula>
    </cfRule>
    <cfRule type="expression" dxfId="470" priority="33">
      <formula>EXACT(H14, "A")</formula>
    </cfRule>
  </conditionalFormatting>
  <conditionalFormatting sqref="H15:W15">
    <cfRule type="containsBlanks" dxfId="469" priority="34">
      <formula>LEN(TRIM(H15))=0</formula>
    </cfRule>
  </conditionalFormatting>
  <conditionalFormatting sqref="H15:W49">
    <cfRule type="containsText" dxfId="468" priority="20" operator="containsText" text="12">
      <formula>NOT(ISERROR(SEARCH("12",H15)))</formula>
    </cfRule>
    <cfRule type="expression" dxfId="467" priority="21">
      <formula>H$14="LH"</formula>
    </cfRule>
    <cfRule type="expression" dxfId="466" priority="22" stopIfTrue="1">
      <formula>H$14="SH"</formula>
    </cfRule>
    <cfRule type="expression" dxfId="465" priority="35">
      <formula>EXACT(H15, "S")</formula>
    </cfRule>
    <cfRule type="expression" dxfId="464" priority="36">
      <formula>EXACT(H15, "R")</formula>
    </cfRule>
    <cfRule type="expression" dxfId="463" priority="37">
      <formula>EXACT(H15, "T")</formula>
    </cfRule>
    <cfRule type="containsText" dxfId="462" priority="38" operator="containsText" text="SH">
      <formula>NOT(ISERROR(SEARCH("SH",H15)))</formula>
    </cfRule>
    <cfRule type="expression" dxfId="461" priority="39">
      <formula>EXACT(H15, "RS")</formula>
    </cfRule>
    <cfRule type="containsText" dxfId="460" priority="40" operator="containsText" text="RH">
      <formula>NOT(ISERROR(SEARCH("RH",H15)))</formula>
    </cfRule>
    <cfRule type="expression" dxfId="459" priority="41">
      <formula>EXACT(H15, "LR")</formula>
    </cfRule>
    <cfRule type="expression" dxfId="458" priority="42">
      <formula>EXACT(H15, "L")</formula>
    </cfRule>
    <cfRule type="expression" dxfId="457" priority="43">
      <formula>EXACT(H15, "D")</formula>
    </cfRule>
    <cfRule type="expression" dxfId="456" priority="44">
      <formula>EXACT(H15, "A")</formula>
    </cfRule>
  </conditionalFormatting>
  <conditionalFormatting sqref="H15:AE18 D19:W19 H20:W21 H22:AE27 C28:AE49 X19:AE21">
    <cfRule type="containsBlanks" dxfId="455" priority="47">
      <formula>LEN(TRIM(C15))=0</formula>
    </cfRule>
  </conditionalFormatting>
  <dataValidations count="1">
    <dataValidation type="list" allowBlank="1" showInputMessage="1" showErrorMessage="1" sqref="H14:W14" xr:uid="{3707A141-F47D-409E-9B58-6E75E28FA15B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C9E7-3B6F-423C-8792-E6E84D8F8534}">
  <sheetPr>
    <pageSetUpPr fitToPage="1"/>
  </sheetPr>
  <dimension ref="B1:AE62"/>
  <sheetViews>
    <sheetView view="pageBreakPreview" topLeftCell="A10" zoomScale="85" zoomScaleNormal="80" zoomScaleSheetLayoutView="85" workbookViewId="0">
      <selection activeCell="D15" sqref="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86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94</v>
      </c>
      <c r="D15" s="31" t="s">
        <v>302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95</v>
      </c>
      <c r="D16" s="31" t="s">
        <v>247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6" customHeight="1" x14ac:dyDescent="0.25">
      <c r="B17" s="30">
        <f t="shared" si="2"/>
        <v>3</v>
      </c>
      <c r="C17" s="61" t="s">
        <v>96</v>
      </c>
      <c r="D17" s="31" t="s">
        <v>199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6" customHeight="1" x14ac:dyDescent="0.25">
      <c r="B18" s="30">
        <f t="shared" si="2"/>
        <v>4</v>
      </c>
      <c r="C18" s="61" t="s">
        <v>97</v>
      </c>
      <c r="D18" s="31" t="s">
        <v>246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/>
      <c r="Y19" s="34"/>
      <c r="Z19" s="34"/>
      <c r="AA19" s="34"/>
      <c r="AB19" s="34"/>
      <c r="AC19" s="34"/>
      <c r="AD19" s="34"/>
      <c r="AE19" s="88"/>
    </row>
    <row r="20" spans="2:31" ht="24.95" customHeight="1" x14ac:dyDescent="0.25">
      <c r="B20" s="30">
        <v>1</v>
      </c>
      <c r="C20" s="61" t="s">
        <v>91</v>
      </c>
      <c r="D20" s="31" t="s">
        <v>243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91</v>
      </c>
      <c r="D21" s="31" t="s">
        <v>243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98</v>
      </c>
      <c r="D22" s="31" t="s">
        <v>248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4</v>
      </c>
      <c r="C23" s="61" t="s">
        <v>98</v>
      </c>
      <c r="D23" s="31" t="s">
        <v>248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v>5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454" priority="3" stopIfTrue="1" operator="equal">
      <formula>0</formula>
    </cfRule>
  </conditionalFormatting>
  <conditionalFormatting sqref="D15:G18">
    <cfRule type="containsBlanks" dxfId="453" priority="6">
      <formula>LEN(TRIM(D15))=0</formula>
    </cfRule>
  </conditionalFormatting>
  <conditionalFormatting sqref="D20:G23">
    <cfRule type="containsBlanks" dxfId="452" priority="1">
      <formula>LEN(TRIM(D20))=0</formula>
    </cfRule>
  </conditionalFormatting>
  <conditionalFormatting sqref="H12:W12">
    <cfRule type="expression" priority="37">
      <formula>TEXT($D$9+COLUMN()-COLUMN($H$12),"ddd")="Sun"</formula>
    </cfRule>
    <cfRule type="expression" dxfId="451" priority="38">
      <formula>TEXT($D$9+COLUMN()-COLUMN($H$12),"ddd")="Sun"</formula>
    </cfRule>
  </conditionalFormatting>
  <conditionalFormatting sqref="H14:W14">
    <cfRule type="containsBlanks" dxfId="450" priority="15">
      <formula>LEN(TRIM(H14))=0</formula>
    </cfRule>
    <cfRule type="expression" dxfId="449" priority="16">
      <formula>EXACT(H14, "S")</formula>
    </cfRule>
    <cfRule type="expression" dxfId="448" priority="17">
      <formula>EXACT(H14, "R")</formula>
    </cfRule>
    <cfRule type="expression" dxfId="447" priority="18">
      <formula>EXACT(H14, "T")</formula>
    </cfRule>
    <cfRule type="containsText" dxfId="446" priority="19" operator="containsText" text="SH">
      <formula>NOT(ISERROR(SEARCH("SH",H14)))</formula>
    </cfRule>
    <cfRule type="expression" dxfId="445" priority="20">
      <formula>EXACT(H14, "RS")</formula>
    </cfRule>
    <cfRule type="containsText" dxfId="444" priority="21" operator="containsText" text="LH">
      <formula>NOT(ISERROR(SEARCH("LH",H14)))</formula>
    </cfRule>
    <cfRule type="expression" dxfId="443" priority="22">
      <formula>EXACT(H14, "LR")</formula>
    </cfRule>
    <cfRule type="expression" dxfId="442" priority="23">
      <formula>EXACT(H14, "L")</formula>
    </cfRule>
    <cfRule type="expression" dxfId="441" priority="24">
      <formula>EXACT(H14, "D")</formula>
    </cfRule>
    <cfRule type="expression" dxfId="440" priority="25">
      <formula>EXACT(H14, "A")</formula>
    </cfRule>
  </conditionalFormatting>
  <conditionalFormatting sqref="H15:W15">
    <cfRule type="containsBlanks" dxfId="439" priority="26">
      <formula>LEN(TRIM(H15))=0</formula>
    </cfRule>
  </conditionalFormatting>
  <conditionalFormatting sqref="H15:W46">
    <cfRule type="containsText" dxfId="438" priority="12" operator="containsText" text="12">
      <formula>NOT(ISERROR(SEARCH("12",H15)))</formula>
    </cfRule>
    <cfRule type="expression" dxfId="437" priority="13">
      <formula>H$14="LH"</formula>
    </cfRule>
    <cfRule type="expression" dxfId="436" priority="14" stopIfTrue="1">
      <formula>H$14="SH"</formula>
    </cfRule>
    <cfRule type="expression" dxfId="435" priority="27">
      <formula>EXACT(H15, "S")</formula>
    </cfRule>
    <cfRule type="expression" dxfId="434" priority="28">
      <formula>EXACT(H15, "R")</formula>
    </cfRule>
    <cfRule type="expression" dxfId="433" priority="29">
      <formula>EXACT(H15, "T")</formula>
    </cfRule>
    <cfRule type="containsText" dxfId="432" priority="30" operator="containsText" text="SH">
      <formula>NOT(ISERROR(SEARCH("SH",H15)))</formula>
    </cfRule>
    <cfRule type="expression" dxfId="431" priority="31">
      <formula>EXACT(H15, "RS")</formula>
    </cfRule>
    <cfRule type="containsText" dxfId="430" priority="32" operator="containsText" text="RH">
      <formula>NOT(ISERROR(SEARCH("RH",H15)))</formula>
    </cfRule>
    <cfRule type="expression" dxfId="429" priority="33">
      <formula>EXACT(H15, "LR")</formula>
    </cfRule>
    <cfRule type="expression" dxfId="428" priority="34">
      <formula>EXACT(H15, "L")</formula>
    </cfRule>
    <cfRule type="expression" dxfId="427" priority="35">
      <formula>EXACT(H15, "D")</formula>
    </cfRule>
    <cfRule type="expression" dxfId="426" priority="36">
      <formula>EXACT(H15, "A")</formula>
    </cfRule>
  </conditionalFormatting>
  <conditionalFormatting sqref="H15:AE18 D19:AE19 H20:AE23 C24:AE46">
    <cfRule type="containsBlanks" dxfId="425" priority="39">
      <formula>LEN(TRIM(C15))=0</formula>
    </cfRule>
  </conditionalFormatting>
  <dataValidations count="1">
    <dataValidation type="list" allowBlank="1" showInputMessage="1" showErrorMessage="1" sqref="H14:W14" xr:uid="{6993252E-03E3-4F62-AB86-5606441E8EC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A74-7ECB-44C5-B602-65525491F57C}">
  <sheetPr>
    <pageSetUpPr fitToPage="1"/>
  </sheetPr>
  <dimension ref="B1:AE63"/>
  <sheetViews>
    <sheetView topLeftCell="A12" zoomScale="85" zoomScaleNormal="85" workbookViewId="0">
      <selection activeCell="D22" sqref="D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285156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99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100</v>
      </c>
      <c r="D15" s="31" t="s">
        <v>228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101</v>
      </c>
      <c r="D16" s="31" t="s">
        <v>289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35.25" customHeight="1" x14ac:dyDescent="0.25">
      <c r="B17" s="30">
        <f t="shared" si="2"/>
        <v>3</v>
      </c>
      <c r="C17" s="61" t="s">
        <v>102</v>
      </c>
      <c r="D17" s="31" t="s">
        <v>200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4">
        <v>8</v>
      </c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5.25" customHeight="1" x14ac:dyDescent="0.25">
      <c r="B18" s="30">
        <f t="shared" si="2"/>
        <v>4</v>
      </c>
      <c r="C18" s="61" t="s">
        <v>103</v>
      </c>
      <c r="D18" s="31" t="s">
        <v>201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91</v>
      </c>
      <c r="D20" s="31" t="s">
        <v>243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91</v>
      </c>
      <c r="D21" s="31" t="s">
        <v>243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5.25" customHeight="1" x14ac:dyDescent="0.25">
      <c r="B22" s="30">
        <f t="shared" si="2"/>
        <v>8</v>
      </c>
      <c r="C22" s="61" t="s">
        <v>91</v>
      </c>
      <c r="D22" s="31" t="s">
        <v>243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5.25" customHeight="1" x14ac:dyDescent="0.25">
      <c r="B23" s="30">
        <v>9</v>
      </c>
      <c r="C23" s="61" t="s">
        <v>98</v>
      </c>
      <c r="D23" s="31" t="s">
        <v>248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ref="Y23:Y24" si="7">X23*8</f>
        <v>16</v>
      </c>
      <c r="Z23" s="34"/>
      <c r="AA23" s="34">
        <f t="shared" ref="AA23:AA24" si="8">SUM(H23:W23)-AB23-AD23-Y23</f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6.75" customHeight="1" x14ac:dyDescent="0.25">
      <c r="B24" s="30">
        <f t="shared" si="2"/>
        <v>10</v>
      </c>
      <c r="C24" s="61" t="s">
        <v>98</v>
      </c>
      <c r="D24" s="31" t="s">
        <v>248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7"/>
        <v>16</v>
      </c>
      <c r="Z24" s="34"/>
      <c r="AA24" s="34">
        <f t="shared" si="8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61" t="s">
        <v>98</v>
      </c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6.7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7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7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7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7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7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7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7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7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7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7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61</v>
      </c>
      <c r="H48" s="38">
        <f t="shared" ref="H48:W48" si="9">COUNTA(H15:H47)-COUNTIF(H15:H47,"A")-COUNTIF(H15:H47,"D")-COUNTIF(H15:H47,"L")</f>
        <v>4</v>
      </c>
      <c r="I48" s="39">
        <f t="shared" si="9"/>
        <v>4</v>
      </c>
      <c r="J48" s="39">
        <f t="shared" si="9"/>
        <v>4</v>
      </c>
      <c r="K48" s="39">
        <f t="shared" si="9"/>
        <v>4</v>
      </c>
      <c r="L48" s="39">
        <f t="shared" si="9"/>
        <v>4</v>
      </c>
      <c r="M48" s="39">
        <f t="shared" si="9"/>
        <v>4</v>
      </c>
      <c r="N48" s="39">
        <f t="shared" si="9"/>
        <v>4</v>
      </c>
      <c r="O48" s="39">
        <f t="shared" si="9"/>
        <v>4</v>
      </c>
      <c r="P48" s="39">
        <f t="shared" si="9"/>
        <v>4</v>
      </c>
      <c r="Q48" s="39">
        <f t="shared" si="9"/>
        <v>4</v>
      </c>
      <c r="R48" s="39">
        <f t="shared" si="9"/>
        <v>4</v>
      </c>
      <c r="S48" s="39">
        <f t="shared" si="9"/>
        <v>4</v>
      </c>
      <c r="T48" s="39">
        <f t="shared" si="9"/>
        <v>4</v>
      </c>
      <c r="U48" s="39">
        <f t="shared" si="9"/>
        <v>4</v>
      </c>
      <c r="V48" s="39">
        <f t="shared" si="9"/>
        <v>4</v>
      </c>
      <c r="W48" s="40">
        <f t="shared" si="9"/>
        <v>1</v>
      </c>
      <c r="X48" s="41">
        <f t="shared" ref="X48:AE48" si="10">SUM(X15:X47)</f>
        <v>61</v>
      </c>
      <c r="Y48" s="42">
        <f t="shared" si="10"/>
        <v>488</v>
      </c>
      <c r="Z48" s="42">
        <f t="shared" si="10"/>
        <v>0</v>
      </c>
      <c r="AA48" s="42">
        <f t="shared" si="10"/>
        <v>0</v>
      </c>
      <c r="AB48" s="42">
        <f t="shared" si="10"/>
        <v>0</v>
      </c>
      <c r="AC48" s="42">
        <f t="shared" si="10"/>
        <v>0</v>
      </c>
      <c r="AD48" s="42">
        <f t="shared" si="10"/>
        <v>0</v>
      </c>
      <c r="AE48" s="42">
        <f t="shared" si="10"/>
        <v>60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291</v>
      </c>
      <c r="C53" s="119"/>
      <c r="D53" s="119"/>
      <c r="E53" s="53"/>
      <c r="F53" s="53"/>
      <c r="G53" s="53"/>
      <c r="H53" s="119" t="s">
        <v>292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293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424" priority="3" stopIfTrue="1" operator="equal">
      <formula>0</formula>
    </cfRule>
  </conditionalFormatting>
  <conditionalFormatting sqref="D15:E19">
    <cfRule type="containsBlanks" dxfId="423" priority="8">
      <formula>LEN(TRIM(D15))=0</formula>
    </cfRule>
  </conditionalFormatting>
  <conditionalFormatting sqref="D20:G24">
    <cfRule type="containsBlanks" dxfId="422" priority="1">
      <formula>LEN(TRIM(D20))=0</formula>
    </cfRule>
  </conditionalFormatting>
  <conditionalFormatting sqref="F15:G18">
    <cfRule type="containsBlanks" dxfId="421" priority="11">
      <formula>LEN(TRIM(F15))=0</formula>
    </cfRule>
  </conditionalFormatting>
  <conditionalFormatting sqref="H12:W12">
    <cfRule type="expression" priority="39">
      <formula>TEXT($D$9+COLUMN()-COLUMN($H$12),"ddd")="Sun"</formula>
    </cfRule>
    <cfRule type="expression" dxfId="420" priority="40">
      <formula>TEXT($D$9+COLUMN()-COLUMN($H$12),"ddd")="Sun"</formula>
    </cfRule>
  </conditionalFormatting>
  <conditionalFormatting sqref="H14:W14">
    <cfRule type="containsBlanks" dxfId="419" priority="17">
      <formula>LEN(TRIM(H14))=0</formula>
    </cfRule>
    <cfRule type="expression" dxfId="418" priority="18">
      <formula>EXACT(H14, "S")</formula>
    </cfRule>
    <cfRule type="expression" dxfId="417" priority="19">
      <formula>EXACT(H14, "R")</formula>
    </cfRule>
    <cfRule type="expression" dxfId="416" priority="20">
      <formula>EXACT(H14, "T")</formula>
    </cfRule>
    <cfRule type="containsText" dxfId="415" priority="21" operator="containsText" text="SH">
      <formula>NOT(ISERROR(SEARCH("SH",H14)))</formula>
    </cfRule>
    <cfRule type="expression" dxfId="414" priority="22">
      <formula>EXACT(H14, "RS")</formula>
    </cfRule>
    <cfRule type="containsText" dxfId="413" priority="23" operator="containsText" text="LH">
      <formula>NOT(ISERROR(SEARCH("LH",H14)))</formula>
    </cfRule>
    <cfRule type="expression" dxfId="412" priority="24">
      <formula>EXACT(H14, "LR")</formula>
    </cfRule>
    <cfRule type="expression" dxfId="411" priority="25">
      <formula>EXACT(H14, "L")</formula>
    </cfRule>
    <cfRule type="expression" dxfId="410" priority="26">
      <formula>EXACT(H14, "D")</formula>
    </cfRule>
    <cfRule type="expression" dxfId="409" priority="27">
      <formula>EXACT(H14, "A")</formula>
    </cfRule>
  </conditionalFormatting>
  <conditionalFormatting sqref="H15:W15">
    <cfRule type="containsBlanks" dxfId="408" priority="28">
      <formula>LEN(TRIM(H15))=0</formula>
    </cfRule>
  </conditionalFormatting>
  <conditionalFormatting sqref="H15:W47">
    <cfRule type="containsText" dxfId="407" priority="14" operator="containsText" text="12">
      <formula>NOT(ISERROR(SEARCH("12",H15)))</formula>
    </cfRule>
    <cfRule type="expression" dxfId="406" priority="15">
      <formula>H$14="LH"</formula>
    </cfRule>
    <cfRule type="expression" dxfId="405" priority="16" stopIfTrue="1">
      <formula>H$14="SH"</formula>
    </cfRule>
    <cfRule type="expression" dxfId="404" priority="29">
      <formula>EXACT(H15, "S")</formula>
    </cfRule>
    <cfRule type="expression" dxfId="403" priority="30">
      <formula>EXACT(H15, "R")</formula>
    </cfRule>
    <cfRule type="expression" dxfId="402" priority="31">
      <formula>EXACT(H15, "T")</formula>
    </cfRule>
    <cfRule type="containsText" dxfId="401" priority="32" operator="containsText" text="SH">
      <formula>NOT(ISERROR(SEARCH("SH",H15)))</formula>
    </cfRule>
    <cfRule type="expression" dxfId="400" priority="33">
      <formula>EXACT(H15, "RS")</formula>
    </cfRule>
    <cfRule type="containsText" dxfId="399" priority="34" operator="containsText" text="RH">
      <formula>NOT(ISERROR(SEARCH("RH",H15)))</formula>
    </cfRule>
    <cfRule type="expression" dxfId="398" priority="35">
      <formula>EXACT(H15, "LR")</formula>
    </cfRule>
    <cfRule type="expression" dxfId="397" priority="36">
      <formula>EXACT(H15, "L")</formula>
    </cfRule>
    <cfRule type="expression" dxfId="396" priority="37">
      <formula>EXACT(H15, "D")</formula>
    </cfRule>
    <cfRule type="expression" dxfId="395" priority="38">
      <formula>EXACT(H15, "A")</formula>
    </cfRule>
  </conditionalFormatting>
  <conditionalFormatting sqref="H15:AE18 F19:AE19 H20:AE24 D25:AE25 C26:AE47">
    <cfRule type="containsBlanks" dxfId="394" priority="41">
      <formula>LEN(TRIM(C15))=0</formula>
    </cfRule>
  </conditionalFormatting>
  <dataValidations count="1">
    <dataValidation type="list" allowBlank="1" showInputMessage="1" showErrorMessage="1" sqref="H14:W14" xr:uid="{43C10EDF-5670-4AF4-B16A-F6EC23ED5133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6772-85D4-47DA-81A4-91F84EE621CD}">
  <dimension ref="B1:AE62"/>
  <sheetViews>
    <sheetView topLeftCell="A12" zoomScale="90" zoomScaleNormal="90" workbookViewId="0">
      <selection activeCell="K22" sqref="K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28515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110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>
      <c r="AE11" s="2"/>
    </row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104</v>
      </c>
      <c r="D15" s="31" t="s">
        <v>251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105</v>
      </c>
      <c r="D16" s="31" t="s">
        <v>252</v>
      </c>
      <c r="E16" s="31" t="s">
        <v>29</v>
      </c>
      <c r="F16" s="31" t="s">
        <v>26</v>
      </c>
      <c r="G16" s="62" t="s">
        <v>55</v>
      </c>
      <c r="H16" s="33" t="s">
        <v>27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7" customHeight="1" x14ac:dyDescent="0.25">
      <c r="B17" s="30">
        <f t="shared" si="2"/>
        <v>3</v>
      </c>
      <c r="C17" s="61" t="s">
        <v>106</v>
      </c>
      <c r="D17" s="31" t="s">
        <v>249</v>
      </c>
      <c r="E17" s="31" t="s">
        <v>29</v>
      </c>
      <c r="F17" s="31" t="s">
        <v>28</v>
      </c>
      <c r="G17" s="62" t="s">
        <v>55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14</v>
      </c>
    </row>
    <row r="18" spans="2:31" ht="38.25" customHeight="1" x14ac:dyDescent="0.25">
      <c r="B18" s="30">
        <f t="shared" si="2"/>
        <v>4</v>
      </c>
      <c r="C18" s="61" t="s">
        <v>107</v>
      </c>
      <c r="D18" s="31" t="s">
        <v>254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 t="s">
        <v>27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 t="s">
        <v>27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5.25" customHeight="1" x14ac:dyDescent="0.25">
      <c r="B19" s="30">
        <f t="shared" si="2"/>
        <v>5</v>
      </c>
      <c r="C19" s="61" t="s">
        <v>108</v>
      </c>
      <c r="D19" s="31" t="s">
        <v>253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 t="s">
        <v>27</v>
      </c>
      <c r="M19" s="34">
        <v>8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 t="s">
        <v>27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250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>
        <v>8</v>
      </c>
      <c r="O21" s="34"/>
      <c r="P21" s="34"/>
      <c r="Q21" s="34"/>
      <c r="R21" s="34"/>
      <c r="S21" s="34"/>
      <c r="T21" s="34"/>
      <c r="U21" s="34">
        <v>8</v>
      </c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109</v>
      </c>
      <c r="D22" s="31" t="s">
        <v>250</v>
      </c>
      <c r="E22" s="31" t="s">
        <v>29</v>
      </c>
      <c r="F22" s="31" t="s">
        <v>26</v>
      </c>
      <c r="G22" s="62" t="s">
        <v>55</v>
      </c>
      <c r="H22" s="33">
        <v>8</v>
      </c>
      <c r="I22" s="34">
        <v>8</v>
      </c>
      <c r="J22" s="34"/>
      <c r="K22" s="34"/>
      <c r="L22" s="34"/>
      <c r="M22" s="34"/>
      <c r="N22" s="34"/>
      <c r="O22" s="34">
        <v>8</v>
      </c>
      <c r="P22" s="34">
        <v>8</v>
      </c>
      <c r="Q22" s="34"/>
      <c r="R22" s="34"/>
      <c r="S22" s="34"/>
      <c r="T22" s="34"/>
      <c r="U22" s="34"/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5.25" customHeight="1" x14ac:dyDescent="0.25">
      <c r="B23" s="30">
        <f t="shared" si="2"/>
        <v>9</v>
      </c>
      <c r="C23" s="61" t="s">
        <v>98</v>
      </c>
      <c r="D23" s="31" t="s">
        <v>248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>
        <v>8</v>
      </c>
      <c r="L23" s="34"/>
      <c r="M23" s="34"/>
      <c r="N23" s="34"/>
      <c r="O23" s="34"/>
      <c r="P23" s="34"/>
      <c r="Q23" s="34"/>
      <c r="R23" s="34">
        <v>8</v>
      </c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5.25" customHeight="1" x14ac:dyDescent="0.25">
      <c r="B24" s="30">
        <f t="shared" si="2"/>
        <v>10</v>
      </c>
      <c r="C24" s="61" t="s">
        <v>98</v>
      </c>
      <c r="D24" s="31" t="s">
        <v>248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>
        <v>8</v>
      </c>
      <c r="M24" s="34"/>
      <c r="N24" s="34"/>
      <c r="O24" s="34"/>
      <c r="P24" s="34"/>
      <c r="Q24" s="34"/>
      <c r="R24" s="34"/>
      <c r="S24" s="34">
        <v>8</v>
      </c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393" priority="6" stopIfTrue="1" operator="equal">
      <formula>0</formula>
    </cfRule>
  </conditionalFormatting>
  <conditionalFormatting sqref="D21:D24">
    <cfRule type="containsBlanks" dxfId="392" priority="1">
      <formula>LEN(TRIM(D21))=0</formula>
    </cfRule>
  </conditionalFormatting>
  <conditionalFormatting sqref="D15:G19">
    <cfRule type="containsBlanks" dxfId="391" priority="2">
      <formula>LEN(TRIM(D15))=0</formula>
    </cfRule>
  </conditionalFormatting>
  <conditionalFormatting sqref="E21:E25">
    <cfRule type="containsBlanks" dxfId="390" priority="7">
      <formula>LEN(TRIM(E21))=0</formula>
    </cfRule>
  </conditionalFormatting>
  <conditionalFormatting sqref="F21:G24">
    <cfRule type="containsBlanks" dxfId="389" priority="3">
      <formula>LEN(TRIM(F21))=0</formula>
    </cfRule>
  </conditionalFormatting>
  <conditionalFormatting sqref="H12:W12">
    <cfRule type="expression" priority="38">
      <formula>TEXT($D$9+COLUMN()-COLUMN($H$12),"ddd")="Sun"</formula>
    </cfRule>
    <cfRule type="expression" dxfId="388" priority="39">
      <formula>TEXT($D$9+COLUMN()-COLUMN($H$12),"ddd")="Sun"</formula>
    </cfRule>
  </conditionalFormatting>
  <conditionalFormatting sqref="H14:W14">
    <cfRule type="expression" dxfId="387" priority="26">
      <formula>EXACT(H14, "A")</formula>
    </cfRule>
    <cfRule type="containsBlanks" dxfId="386" priority="16">
      <formula>LEN(TRIM(H14))=0</formula>
    </cfRule>
    <cfRule type="expression" dxfId="385" priority="17">
      <formula>EXACT(H14, "S")</formula>
    </cfRule>
    <cfRule type="expression" dxfId="384" priority="18">
      <formula>EXACT(H14, "R")</formula>
    </cfRule>
    <cfRule type="expression" dxfId="383" priority="19">
      <formula>EXACT(H14, "T")</formula>
    </cfRule>
    <cfRule type="containsText" dxfId="382" priority="20" operator="containsText" text="SH">
      <formula>NOT(ISERROR(SEARCH("SH",H14)))</formula>
    </cfRule>
    <cfRule type="expression" dxfId="381" priority="21">
      <formula>EXACT(H14, "RS")</formula>
    </cfRule>
    <cfRule type="containsText" dxfId="380" priority="22" operator="containsText" text="LH">
      <formula>NOT(ISERROR(SEARCH("LH",H14)))</formula>
    </cfRule>
    <cfRule type="expression" dxfId="379" priority="23">
      <formula>EXACT(H14, "LR")</formula>
    </cfRule>
    <cfRule type="expression" dxfId="378" priority="24">
      <formula>EXACT(H14, "L")</formula>
    </cfRule>
    <cfRule type="expression" dxfId="377" priority="25">
      <formula>EXACT(H14, "D")</formula>
    </cfRule>
  </conditionalFormatting>
  <conditionalFormatting sqref="H15:W15">
    <cfRule type="containsBlanks" dxfId="376" priority="27">
      <formula>LEN(TRIM(H15))=0</formula>
    </cfRule>
  </conditionalFormatting>
  <conditionalFormatting sqref="H15:W46">
    <cfRule type="containsText" dxfId="375" priority="13" operator="containsText" text="12">
      <formula>NOT(ISERROR(SEARCH("12",H15)))</formula>
    </cfRule>
    <cfRule type="expression" dxfId="374" priority="28">
      <formula>EXACT(H15, "S")</formula>
    </cfRule>
    <cfRule type="expression" dxfId="373" priority="29">
      <formula>EXACT(H15, "R")</formula>
    </cfRule>
    <cfRule type="expression" dxfId="372" priority="30">
      <formula>EXACT(H15, "T")</formula>
    </cfRule>
    <cfRule type="containsText" dxfId="371" priority="31" operator="containsText" text="SH">
      <formula>NOT(ISERROR(SEARCH("SH",H15)))</formula>
    </cfRule>
    <cfRule type="expression" dxfId="370" priority="32">
      <formula>EXACT(H15, "RS")</formula>
    </cfRule>
    <cfRule type="containsText" dxfId="369" priority="33" operator="containsText" text="RH">
      <formula>NOT(ISERROR(SEARCH("RH",H15)))</formula>
    </cfRule>
    <cfRule type="expression" dxfId="368" priority="34">
      <formula>EXACT(H15, "LR")</formula>
    </cfRule>
    <cfRule type="expression" dxfId="367" priority="35">
      <formula>EXACT(H15, "L")</formula>
    </cfRule>
    <cfRule type="expression" dxfId="366" priority="36">
      <formula>EXACT(H15, "D")</formula>
    </cfRule>
    <cfRule type="expression" dxfId="365" priority="37">
      <formula>EXACT(H15, "A")</formula>
    </cfRule>
    <cfRule type="expression" dxfId="364" priority="15" stopIfTrue="1">
      <formula>H$14="SH"</formula>
    </cfRule>
    <cfRule type="expression" dxfId="363" priority="14">
      <formula>H$14="LH"</formula>
    </cfRule>
  </conditionalFormatting>
  <conditionalFormatting sqref="H15:AE19 D20:AE20 H21:AE24 F25:AE25 C26:AE46 C25:D25">
    <cfRule type="containsBlanks" dxfId="362" priority="40">
      <formula>LEN(TRIM(C15))=0</formula>
    </cfRule>
  </conditionalFormatting>
  <dataValidations count="1">
    <dataValidation type="list" allowBlank="1" showInputMessage="1" showErrorMessage="1" sqref="H14:W14" xr:uid="{838EA778-9898-433F-BEF4-AE29EAD87135}">
      <formula1>"SH, LH"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FB77-D988-4274-901D-F1B3D9F75754}">
  <sheetPr>
    <pageSetUpPr fitToPage="1"/>
  </sheetPr>
  <dimension ref="B1:AE65"/>
  <sheetViews>
    <sheetView view="pageBreakPreview" topLeftCell="A18" zoomScale="85" zoomScaleNormal="83" zoomScaleSheetLayoutView="85" workbookViewId="0">
      <selection activeCell="D25" sqref="D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42578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customHeight="1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78"/>
      <c r="AD2" s="78"/>
      <c r="AE2" s="79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80"/>
      <c r="AD3" s="80"/>
      <c r="AE3" s="81"/>
    </row>
    <row r="4" spans="2:31" ht="15.75" customHeight="1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82"/>
      <c r="AE4" s="83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80"/>
      <c r="AE5" s="81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84"/>
      <c r="AD6" s="84"/>
      <c r="AE6" s="8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118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72" t="s">
        <v>6</v>
      </c>
      <c r="C12" s="72" t="s">
        <v>7</v>
      </c>
      <c r="D12" s="72" t="s">
        <v>8</v>
      </c>
      <c r="E12" s="72" t="s">
        <v>9</v>
      </c>
      <c r="F12" s="72" t="s">
        <v>10</v>
      </c>
      <c r="G12" s="75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72" t="s">
        <v>18</v>
      </c>
    </row>
    <row r="13" spans="2:31" ht="13.5" customHeight="1" x14ac:dyDescent="0.25">
      <c r="B13" s="73"/>
      <c r="C13" s="73"/>
      <c r="D13" s="73"/>
      <c r="E13" s="73"/>
      <c r="F13" s="73"/>
      <c r="G13" s="76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86" t="s">
        <v>19</v>
      </c>
      <c r="Y13" s="72" t="s">
        <v>20</v>
      </c>
      <c r="Z13" s="72" t="s">
        <v>21</v>
      </c>
      <c r="AA13" s="72" t="s">
        <v>22</v>
      </c>
      <c r="AB13" s="72" t="s">
        <v>23</v>
      </c>
      <c r="AC13" s="72" t="s">
        <v>24</v>
      </c>
      <c r="AD13" s="72" t="s">
        <v>23</v>
      </c>
      <c r="AE13" s="73"/>
    </row>
    <row r="14" spans="2:31" ht="11.25" customHeight="1" x14ac:dyDescent="0.25">
      <c r="B14" s="74"/>
      <c r="C14" s="74"/>
      <c r="D14" s="74"/>
      <c r="E14" s="74"/>
      <c r="F14" s="74"/>
      <c r="G14" s="77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87"/>
      <c r="Y14" s="74"/>
      <c r="Z14" s="74"/>
      <c r="AA14" s="74"/>
      <c r="AB14" s="74"/>
      <c r="AC14" s="74"/>
      <c r="AD14" s="74"/>
      <c r="AE14" s="74"/>
    </row>
    <row r="15" spans="2:31" ht="24.95" customHeight="1" x14ac:dyDescent="0.25">
      <c r="B15" s="30">
        <f>ROW()-14</f>
        <v>1</v>
      </c>
      <c r="C15" s="61" t="s">
        <v>111</v>
      </c>
      <c r="D15" s="31" t="s">
        <v>256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 t="s">
        <v>27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 t="s">
        <v>27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112</v>
      </c>
      <c r="D16" s="31" t="s">
        <v>220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 t="s">
        <v>27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2.25" customHeight="1" x14ac:dyDescent="0.25">
      <c r="B17" s="30">
        <f t="shared" si="2"/>
        <v>3</v>
      </c>
      <c r="C17" s="61" t="s">
        <v>113</v>
      </c>
      <c r="D17" s="31" t="s">
        <v>224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4.5" customHeight="1" x14ac:dyDescent="0.25">
      <c r="B18" s="30">
        <f t="shared" si="2"/>
        <v>4</v>
      </c>
      <c r="C18" s="61" t="s">
        <v>114</v>
      </c>
      <c r="D18" s="31" t="s">
        <v>255</v>
      </c>
      <c r="E18" s="31" t="s">
        <v>29</v>
      </c>
      <c r="F18" s="31" t="s">
        <v>28</v>
      </c>
      <c r="G18" s="63" t="s">
        <v>57</v>
      </c>
      <c r="H18" s="33" t="s">
        <v>27</v>
      </c>
      <c r="I18" s="34" t="s">
        <v>93</v>
      </c>
      <c r="J18" s="34" t="s">
        <v>93</v>
      </c>
      <c r="K18" s="34" t="s">
        <v>93</v>
      </c>
      <c r="L18" s="34" t="s">
        <v>93</v>
      </c>
      <c r="M18" s="34" t="s">
        <v>93</v>
      </c>
      <c r="N18" s="34" t="s">
        <v>93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24.95" customHeight="1" x14ac:dyDescent="0.25">
      <c r="B19" s="30"/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v>1</v>
      </c>
      <c r="C20" s="61" t="s">
        <v>109</v>
      </c>
      <c r="D20" s="31" t="s">
        <v>250</v>
      </c>
      <c r="E20" s="31" t="s">
        <v>29</v>
      </c>
      <c r="F20" s="31" t="s">
        <v>26</v>
      </c>
      <c r="G20" s="62" t="s">
        <v>54</v>
      </c>
      <c r="H20" s="33"/>
      <c r="I20" s="34"/>
      <c r="J20" s="34">
        <v>8</v>
      </c>
      <c r="K20" s="34"/>
      <c r="L20" s="34"/>
      <c r="M20" s="34"/>
      <c r="N20" s="34"/>
      <c r="O20" s="34"/>
      <c r="P20" s="34"/>
      <c r="Q20" s="34">
        <v>8</v>
      </c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v>2</v>
      </c>
      <c r="C21" s="61" t="s">
        <v>109</v>
      </c>
      <c r="D21" s="31" t="s">
        <v>250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>
        <v>8</v>
      </c>
      <c r="L21" s="34"/>
      <c r="M21" s="34"/>
      <c r="N21" s="34"/>
      <c r="O21" s="34"/>
      <c r="P21" s="34"/>
      <c r="Q21" s="34"/>
      <c r="R21" s="34">
        <v>8</v>
      </c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4.5" customHeight="1" x14ac:dyDescent="0.25">
      <c r="B22" s="30">
        <v>3</v>
      </c>
      <c r="C22" s="61" t="s">
        <v>115</v>
      </c>
      <c r="D22" s="31" t="s">
        <v>257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6.75" customHeight="1" x14ac:dyDescent="0.25">
      <c r="B23" s="30">
        <v>4</v>
      </c>
      <c r="C23" s="61" t="s">
        <v>115</v>
      </c>
      <c r="D23" s="31" t="s">
        <v>257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32.25" customHeight="1" x14ac:dyDescent="0.25">
      <c r="B24" s="30">
        <v>5</v>
      </c>
      <c r="C24" s="61" t="s">
        <v>116</v>
      </c>
      <c r="D24" s="31" t="s">
        <v>258</v>
      </c>
      <c r="E24" s="31" t="s">
        <v>29</v>
      </c>
      <c r="F24" s="31" t="s">
        <v>28</v>
      </c>
      <c r="G24" s="63" t="s">
        <v>57</v>
      </c>
      <c r="H24" s="33"/>
      <c r="I24" s="34">
        <v>8</v>
      </c>
      <c r="J24" s="34"/>
      <c r="K24" s="34"/>
      <c r="L24" s="34"/>
      <c r="M24" s="34"/>
      <c r="N24" s="34">
        <v>8</v>
      </c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6.75" customHeight="1" x14ac:dyDescent="0.25">
      <c r="B25" s="30">
        <v>6</v>
      </c>
      <c r="C25" s="61" t="s">
        <v>299</v>
      </c>
      <c r="D25" s="31" t="s">
        <v>297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5.25" customHeight="1" x14ac:dyDescent="0.25">
      <c r="B26" s="30">
        <v>7</v>
      </c>
      <c r="C26" s="61" t="s">
        <v>117</v>
      </c>
      <c r="D26" s="31" t="s">
        <v>287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>
        <v>8</v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4.5" customHeight="1" x14ac:dyDescent="0.25">
      <c r="B27" s="30">
        <v>8</v>
      </c>
      <c r="C27" s="61" t="s">
        <v>90</v>
      </c>
      <c r="D27" s="31" t="s">
        <v>245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>
        <v>8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1</v>
      </c>
      <c r="Y27" s="34">
        <f t="shared" si="3"/>
        <v>8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1</v>
      </c>
    </row>
    <row r="28" spans="2:31" ht="35.25" customHeight="1" x14ac:dyDescent="0.25">
      <c r="B28" s="30">
        <v>9</v>
      </c>
      <c r="C28" s="61" t="s">
        <v>88</v>
      </c>
      <c r="D28" s="31" t="s">
        <v>244</v>
      </c>
      <c r="E28" s="31" t="s">
        <v>29</v>
      </c>
      <c r="F28" s="31" t="s">
        <v>28</v>
      </c>
      <c r="G28" s="63" t="s">
        <v>57</v>
      </c>
      <c r="H28" s="33"/>
      <c r="I28" s="34"/>
      <c r="J28" s="34"/>
      <c r="K28" s="34"/>
      <c r="L28" s="34"/>
      <c r="M28" s="34">
        <v>8</v>
      </c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1</v>
      </c>
      <c r="Y28" s="34">
        <f t="shared" si="3"/>
        <v>8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>
        <v>1</v>
      </c>
    </row>
    <row r="29" spans="2:31" ht="24.95" hidden="1" customHeight="1" x14ac:dyDescent="0.25">
      <c r="B29" s="30">
        <v>10</v>
      </c>
      <c r="C29" s="6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6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64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6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6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64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6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6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6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6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6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6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9" t="s">
        <v>30</v>
      </c>
      <c r="F47" s="69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customHeight="1" x14ac:dyDescent="0.25">
      <c r="B49" s="43" t="s">
        <v>31</v>
      </c>
      <c r="H49" s="118" t="s">
        <v>32</v>
      </c>
      <c r="I49" s="118"/>
      <c r="J49" s="118"/>
      <c r="K49" s="118"/>
      <c r="R49" s="70"/>
      <c r="S49" s="118" t="s">
        <v>33</v>
      </c>
      <c r="T49" s="118"/>
      <c r="U49" s="118"/>
      <c r="V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71"/>
      <c r="C52" s="119" t="s">
        <v>291</v>
      </c>
      <c r="D52" s="119"/>
      <c r="E52" s="119"/>
      <c r="F52" s="53"/>
      <c r="G52" s="53"/>
      <c r="H52" s="71"/>
      <c r="I52" s="71"/>
      <c r="J52" s="71"/>
      <c r="K52" s="119" t="s">
        <v>292</v>
      </c>
      <c r="L52" s="119"/>
      <c r="M52" s="119"/>
      <c r="N52" s="119"/>
      <c r="O52" s="119"/>
      <c r="P52" s="119"/>
      <c r="Q52" s="119"/>
      <c r="R52" s="71"/>
      <c r="S52" s="71"/>
      <c r="T52" s="71"/>
      <c r="U52" s="119" t="s">
        <v>293</v>
      </c>
      <c r="V52" s="119"/>
      <c r="W52" s="119"/>
      <c r="X52" s="119"/>
      <c r="Y52" s="119"/>
      <c r="Z52" s="119"/>
      <c r="AA52" s="119"/>
      <c r="AB52" s="51"/>
      <c r="AC52" s="52"/>
      <c r="AD52" s="48"/>
      <c r="AE52" s="49"/>
    </row>
    <row r="53" spans="2:31" ht="15.75" customHeight="1" x14ac:dyDescent="0.25">
      <c r="B53" s="67"/>
      <c r="C53" s="116" t="s">
        <v>25</v>
      </c>
      <c r="D53" s="116"/>
      <c r="E53" s="116"/>
      <c r="H53" s="68"/>
      <c r="I53" s="68"/>
      <c r="J53" s="68"/>
      <c r="K53" s="117" t="s">
        <v>38</v>
      </c>
      <c r="L53" s="117"/>
      <c r="M53" s="117"/>
      <c r="N53" s="117"/>
      <c r="O53" s="117"/>
      <c r="P53" s="117"/>
      <c r="Q53" s="117"/>
      <c r="R53" s="68"/>
      <c r="S53" s="68"/>
      <c r="T53" s="68"/>
      <c r="U53" s="117" t="s">
        <v>39</v>
      </c>
      <c r="V53" s="117"/>
      <c r="W53" s="117"/>
      <c r="X53" s="117"/>
      <c r="Y53" s="117"/>
      <c r="Z53" s="117"/>
      <c r="AA53" s="117"/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  <row r="65" spans="20:20" x14ac:dyDescent="0.25">
      <c r="T65" s="1" t="s">
        <v>298</v>
      </c>
    </row>
  </sheetData>
  <mergeCells count="14">
    <mergeCell ref="S49:V49"/>
    <mergeCell ref="U52:AA52"/>
    <mergeCell ref="U53:AA53"/>
    <mergeCell ref="D10:E10"/>
    <mergeCell ref="C52:E52"/>
    <mergeCell ref="C53:E53"/>
    <mergeCell ref="H49:K49"/>
    <mergeCell ref="K52:Q52"/>
    <mergeCell ref="K53:Q53"/>
    <mergeCell ref="C2:AB3"/>
    <mergeCell ref="C4:AC5"/>
    <mergeCell ref="C6:AB6"/>
    <mergeCell ref="C8:F8"/>
    <mergeCell ref="D9:E9"/>
  </mergeCells>
  <conditionalFormatting sqref="C15:C40">
    <cfRule type="cellIs" dxfId="361" priority="14" stopIfTrue="1" operator="equal">
      <formula>0</formula>
    </cfRule>
  </conditionalFormatting>
  <conditionalFormatting sqref="D15:E28">
    <cfRule type="containsBlanks" dxfId="360" priority="1">
      <formula>LEN(TRIM(D15))=0</formula>
    </cfRule>
  </conditionalFormatting>
  <conditionalFormatting sqref="F15:G18">
    <cfRule type="containsBlanks" dxfId="359" priority="5">
      <formula>LEN(TRIM(F15))=0</formula>
    </cfRule>
  </conditionalFormatting>
  <conditionalFormatting sqref="F20:G28">
    <cfRule type="containsBlanks" dxfId="358" priority="6">
      <formula>LEN(TRIM(F20))=0</formula>
    </cfRule>
  </conditionalFormatting>
  <conditionalFormatting sqref="H12:W12">
    <cfRule type="expression" priority="43">
      <formula>TEXT($D$9+COLUMN()-COLUMN($H$12),"ddd")="Sun"</formula>
    </cfRule>
    <cfRule type="expression" dxfId="357" priority="44">
      <formula>TEXT($D$9+COLUMN()-COLUMN($H$12),"ddd")="Sun"</formula>
    </cfRule>
  </conditionalFormatting>
  <conditionalFormatting sqref="H14:W14">
    <cfRule type="containsBlanks" dxfId="356" priority="21">
      <formula>LEN(TRIM(H14))=0</formula>
    </cfRule>
    <cfRule type="expression" dxfId="355" priority="22">
      <formula>EXACT(H14, "S")</formula>
    </cfRule>
    <cfRule type="expression" dxfId="354" priority="23">
      <formula>EXACT(H14, "R")</formula>
    </cfRule>
    <cfRule type="expression" dxfId="353" priority="24">
      <formula>EXACT(H14, "T")</formula>
    </cfRule>
    <cfRule type="containsText" dxfId="352" priority="25" operator="containsText" text="SH">
      <formula>NOT(ISERROR(SEARCH("SH",H14)))</formula>
    </cfRule>
    <cfRule type="expression" dxfId="351" priority="26">
      <formula>EXACT(H14, "RS")</formula>
    </cfRule>
    <cfRule type="containsText" dxfId="350" priority="27" operator="containsText" text="LH">
      <formula>NOT(ISERROR(SEARCH("LH",H14)))</formula>
    </cfRule>
    <cfRule type="expression" dxfId="349" priority="28">
      <formula>EXACT(H14, "LR")</formula>
    </cfRule>
    <cfRule type="expression" dxfId="348" priority="29">
      <formula>EXACT(H14, "L")</formula>
    </cfRule>
    <cfRule type="expression" dxfId="347" priority="30">
      <formula>EXACT(H14, "D")</formula>
    </cfRule>
    <cfRule type="expression" dxfId="346" priority="31">
      <formula>EXACT(H14, "A")</formula>
    </cfRule>
  </conditionalFormatting>
  <conditionalFormatting sqref="H15:W15">
    <cfRule type="containsBlanks" dxfId="345" priority="32">
      <formula>LEN(TRIM(H15))=0</formula>
    </cfRule>
  </conditionalFormatting>
  <conditionalFormatting sqref="H15:W46">
    <cfRule type="containsText" dxfId="344" priority="18" operator="containsText" text="12">
      <formula>NOT(ISERROR(SEARCH("12",H15)))</formula>
    </cfRule>
    <cfRule type="expression" dxfId="343" priority="19">
      <formula>H$14="LH"</formula>
    </cfRule>
    <cfRule type="expression" dxfId="342" priority="20" stopIfTrue="1">
      <formula>H$14="SH"</formula>
    </cfRule>
    <cfRule type="expression" dxfId="341" priority="33">
      <formula>EXACT(H15, "S")</formula>
    </cfRule>
    <cfRule type="expression" dxfId="340" priority="34">
      <formula>EXACT(H15, "R")</formula>
    </cfRule>
    <cfRule type="expression" dxfId="339" priority="35">
      <formula>EXACT(H15, "T")</formula>
    </cfRule>
    <cfRule type="containsText" dxfId="338" priority="36" operator="containsText" text="SH">
      <formula>NOT(ISERROR(SEARCH("SH",H15)))</formula>
    </cfRule>
    <cfRule type="expression" dxfId="337" priority="37">
      <formula>EXACT(H15, "RS")</formula>
    </cfRule>
    <cfRule type="containsText" dxfId="336" priority="38" operator="containsText" text="RH">
      <formula>NOT(ISERROR(SEARCH("RH",H15)))</formula>
    </cfRule>
    <cfRule type="expression" dxfId="335" priority="39">
      <formula>EXACT(H15, "LR")</formula>
    </cfRule>
    <cfRule type="expression" dxfId="334" priority="40">
      <formula>EXACT(H15, "L")</formula>
    </cfRule>
    <cfRule type="expression" dxfId="333" priority="41">
      <formula>EXACT(H15, "D")</formula>
    </cfRule>
    <cfRule type="expression" dxfId="332" priority="42">
      <formula>EXACT(H15, "A")</formula>
    </cfRule>
  </conditionalFormatting>
  <conditionalFormatting sqref="H15:AE18 F19:AE19 H20:AE28 D29:AE40 C41:AE46">
    <cfRule type="containsBlanks" dxfId="331" priority="45">
      <formula>LEN(TRIM(C15))=0</formula>
    </cfRule>
  </conditionalFormatting>
  <dataValidations count="1">
    <dataValidation type="list" allowBlank="1" showInputMessage="1" showErrorMessage="1" sqref="H14:W14" xr:uid="{2362B47D-5E65-413F-96B5-F55E36B15427}">
      <formula1>"SH, LH"</formula1>
    </dataValidation>
  </dataValidations>
  <pageMargins left="0.7" right="0.7" top="0.75" bottom="0.75" header="0.3" footer="0.3"/>
  <pageSetup paperSize="9" scale="48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E2DE-647C-40F9-8B88-AC2849CF3A3E}">
  <sheetPr>
    <pageSetUpPr fitToPage="1"/>
  </sheetPr>
  <dimension ref="B1:AE63"/>
  <sheetViews>
    <sheetView topLeftCell="A11" zoomScale="80" zoomScaleNormal="80" workbookViewId="0">
      <selection activeCell="AF22" sqref="AF22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119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120</v>
      </c>
      <c r="D15" s="31" t="s">
        <v>202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7" si="2">ROW()-14</f>
        <v>2</v>
      </c>
      <c r="C16" s="61" t="s">
        <v>121</v>
      </c>
      <c r="D16" s="31" t="s">
        <v>203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7" si="3">X16*8</f>
        <v>104</v>
      </c>
      <c r="Z16" s="34"/>
      <c r="AA16" s="34">
        <f t="shared" ref="AA16:AA47" si="4">SUM(H16:W16)-AB16-AD16-Y16</f>
        <v>0</v>
      </c>
      <c r="AB16" s="34">
        <f t="shared" ref="AB16:AB47" si="5">SUMIF($H$14:$W$14,"LH",$H16:$W16)</f>
        <v>0</v>
      </c>
      <c r="AC16" s="34"/>
      <c r="AD16" s="34">
        <f t="shared" ref="AD16:AD47" si="6">SUMIF($H$14:$W$14,"SH",$H16:$W16)</f>
        <v>0</v>
      </c>
      <c r="AE16" s="88">
        <v>13</v>
      </c>
    </row>
    <row r="17" spans="2:31" ht="24" customHeight="1" x14ac:dyDescent="0.25">
      <c r="B17" s="30">
        <f t="shared" si="2"/>
        <v>3</v>
      </c>
      <c r="C17" s="61" t="s">
        <v>122</v>
      </c>
      <c r="D17" s="31" t="s">
        <v>225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>
        <v>13</v>
      </c>
    </row>
    <row r="18" spans="2:31" ht="36" customHeight="1" x14ac:dyDescent="0.25">
      <c r="B18" s="30">
        <f t="shared" si="2"/>
        <v>4</v>
      </c>
      <c r="C18" s="61" t="s">
        <v>123</v>
      </c>
      <c r="D18" s="31" t="s">
        <v>229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124</v>
      </c>
      <c r="D19" s="31" t="s">
        <v>259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 t="s">
        <v>93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109</v>
      </c>
      <c r="D21" s="31" t="s">
        <v>250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125</v>
      </c>
      <c r="D22" s="31" t="s">
        <v>260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" customHeight="1" x14ac:dyDescent="0.25">
      <c r="B23" s="30">
        <f t="shared" si="2"/>
        <v>9</v>
      </c>
      <c r="C23" s="61" t="s">
        <v>115</v>
      </c>
      <c r="D23" s="31" t="s">
        <v>257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257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ref="Y24" si="7">X24*8</f>
        <v>16</v>
      </c>
      <c r="Z24" s="34"/>
      <c r="AA24" s="34">
        <f t="shared" ref="AA24" si="8">SUM(H24:W24)-AB24-AD24-Y24</f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33" customHeight="1" x14ac:dyDescent="0.25">
      <c r="B25" s="30"/>
      <c r="C25" s="61" t="s">
        <v>130</v>
      </c>
      <c r="D25" s="31" t="s">
        <v>263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ref="Y25" si="9">X25*8</f>
        <v>8</v>
      </c>
      <c r="Z25" s="34"/>
      <c r="AA25" s="34">
        <f t="shared" ref="AA25" si="10">SUM(H25:W25)-AB25-AD25-Y25</f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4.95" hidden="1" customHeight="1" x14ac:dyDescent="0.25">
      <c r="B47" s="30">
        <f t="shared" si="2"/>
        <v>33</v>
      </c>
      <c r="C47" s="31"/>
      <c r="D47" s="31"/>
      <c r="E47" s="31"/>
      <c r="F47" s="31"/>
      <c r="G47" s="32"/>
      <c r="H47" s="33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6" cm="1">
        <f t="array" ref="X47">SUMPRODUCT(--ISNUMBER(H47:W47), --($H$14:$W$14&lt;&gt;"LH"), --($H$14:$W$14&lt;&gt;"SH"))</f>
        <v>0</v>
      </c>
      <c r="Y47" s="34">
        <f t="shared" si="3"/>
        <v>0</v>
      </c>
      <c r="Z47" s="34"/>
      <c r="AA47" s="34">
        <f t="shared" si="4"/>
        <v>0</v>
      </c>
      <c r="AB47" s="34">
        <f t="shared" si="5"/>
        <v>0</v>
      </c>
      <c r="AC47" s="34"/>
      <c r="AD47" s="34">
        <f t="shared" si="6"/>
        <v>0</v>
      </c>
      <c r="AE47" s="37"/>
    </row>
    <row r="48" spans="2:31" ht="22.5" customHeight="1" thickBot="1" x14ac:dyDescent="0.3">
      <c r="B48" s="34"/>
      <c r="C48" s="31"/>
      <c r="D48" s="31"/>
      <c r="E48" s="106" t="s">
        <v>30</v>
      </c>
      <c r="F48" s="107"/>
      <c r="G48" s="9">
        <f>SUM(H48:W48)</f>
        <v>76</v>
      </c>
      <c r="H48" s="38">
        <f t="shared" ref="H48:W48" si="11">COUNTA(H15:H47)-COUNTIF(H15:H47,"A")-COUNTIF(H15:H47,"D")-COUNTIF(H15:H47,"L")</f>
        <v>5</v>
      </c>
      <c r="I48" s="39">
        <f t="shared" si="11"/>
        <v>5</v>
      </c>
      <c r="J48" s="39">
        <f t="shared" si="11"/>
        <v>5</v>
      </c>
      <c r="K48" s="39">
        <f t="shared" si="11"/>
        <v>5</v>
      </c>
      <c r="L48" s="39">
        <f t="shared" si="11"/>
        <v>5</v>
      </c>
      <c r="M48" s="39">
        <f t="shared" si="11"/>
        <v>5</v>
      </c>
      <c r="N48" s="39">
        <f t="shared" si="11"/>
        <v>5</v>
      </c>
      <c r="O48" s="39">
        <f t="shared" si="11"/>
        <v>5</v>
      </c>
      <c r="P48" s="39">
        <f t="shared" si="11"/>
        <v>5</v>
      </c>
      <c r="Q48" s="39">
        <f t="shared" si="11"/>
        <v>5</v>
      </c>
      <c r="R48" s="39">
        <f t="shared" si="11"/>
        <v>5</v>
      </c>
      <c r="S48" s="39">
        <f t="shared" si="11"/>
        <v>5</v>
      </c>
      <c r="T48" s="39">
        <f t="shared" si="11"/>
        <v>5</v>
      </c>
      <c r="U48" s="39">
        <f t="shared" si="11"/>
        <v>5</v>
      </c>
      <c r="V48" s="39">
        <f t="shared" si="11"/>
        <v>5</v>
      </c>
      <c r="W48" s="40">
        <f t="shared" si="11"/>
        <v>1</v>
      </c>
      <c r="X48" s="41">
        <f t="shared" ref="X48:AE48" si="12">SUM(X15:X47)</f>
        <v>76</v>
      </c>
      <c r="Y48" s="42">
        <f t="shared" si="12"/>
        <v>608</v>
      </c>
      <c r="Z48" s="42">
        <f t="shared" si="12"/>
        <v>0</v>
      </c>
      <c r="AA48" s="42">
        <f t="shared" si="12"/>
        <v>0</v>
      </c>
      <c r="AB48" s="42">
        <f t="shared" si="12"/>
        <v>0</v>
      </c>
      <c r="AC48" s="42">
        <f t="shared" si="12"/>
        <v>0</v>
      </c>
      <c r="AD48" s="42">
        <f t="shared" si="12"/>
        <v>0</v>
      </c>
      <c r="AE48" s="42">
        <f t="shared" si="12"/>
        <v>76</v>
      </c>
    </row>
    <row r="50" spans="2:31" ht="15.75" x14ac:dyDescent="0.25">
      <c r="B50" s="43" t="s">
        <v>31</v>
      </c>
      <c r="H50" s="118" t="s">
        <v>32</v>
      </c>
      <c r="I50" s="118"/>
      <c r="J50" s="118"/>
      <c r="K50" s="118"/>
      <c r="R50" s="118" t="s">
        <v>33</v>
      </c>
      <c r="S50" s="118"/>
      <c r="T50" s="118"/>
      <c r="U50" s="118"/>
      <c r="Z50" s="44"/>
      <c r="AA50" s="45" t="s">
        <v>34</v>
      </c>
      <c r="AB50" s="46"/>
      <c r="AC50" s="47"/>
      <c r="AD50" s="48"/>
      <c r="AE50" s="44"/>
    </row>
    <row r="51" spans="2:31" ht="15.75" x14ac:dyDescent="0.25">
      <c r="U51" s="49"/>
      <c r="Z51" s="48"/>
      <c r="AA51" s="50" t="s">
        <v>35</v>
      </c>
      <c r="AB51" s="51"/>
      <c r="AC51" s="52"/>
      <c r="AD51" s="48"/>
      <c r="AE51" s="49"/>
    </row>
    <row r="52" spans="2:31" ht="15.75" x14ac:dyDescent="0.25">
      <c r="U52" s="49"/>
      <c r="Z52" s="48"/>
      <c r="AA52" s="50" t="s">
        <v>36</v>
      </c>
      <c r="AB52" s="51"/>
      <c r="AC52" s="52"/>
      <c r="AD52" s="48"/>
      <c r="AE52" s="49"/>
    </row>
    <row r="53" spans="2:31" ht="15.75" x14ac:dyDescent="0.25">
      <c r="B53" s="119" t="s">
        <v>291</v>
      </c>
      <c r="C53" s="119"/>
      <c r="D53" s="119"/>
      <c r="E53" s="53"/>
      <c r="F53" s="53"/>
      <c r="G53" s="53"/>
      <c r="H53" s="119" t="s">
        <v>292</v>
      </c>
      <c r="I53" s="119"/>
      <c r="J53" s="119"/>
      <c r="K53" s="119"/>
      <c r="L53" s="119"/>
      <c r="M53" s="119"/>
      <c r="N53" s="119"/>
      <c r="O53" s="54"/>
      <c r="P53" s="54"/>
      <c r="Q53" s="54"/>
      <c r="R53" s="119" t="s">
        <v>293</v>
      </c>
      <c r="S53" s="119"/>
      <c r="T53" s="119"/>
      <c r="U53" s="119"/>
      <c r="V53" s="119"/>
      <c r="W53" s="119"/>
      <c r="X53" s="119"/>
      <c r="Z53" s="48"/>
      <c r="AA53" s="50" t="s">
        <v>37</v>
      </c>
      <c r="AB53" s="51"/>
      <c r="AC53" s="52"/>
      <c r="AD53" s="48"/>
      <c r="AE53" s="49"/>
    </row>
    <row r="54" spans="2:31" ht="15.75" customHeight="1" x14ac:dyDescent="0.25">
      <c r="B54" s="116" t="s">
        <v>25</v>
      </c>
      <c r="C54" s="116"/>
      <c r="D54" s="116"/>
      <c r="H54" s="117" t="s">
        <v>38</v>
      </c>
      <c r="I54" s="117"/>
      <c r="J54" s="117"/>
      <c r="K54" s="117"/>
      <c r="L54" s="117"/>
      <c r="M54" s="117"/>
      <c r="N54" s="117"/>
      <c r="O54" s="10"/>
      <c r="P54" s="10"/>
      <c r="Q54" s="10"/>
      <c r="R54" s="117" t="s">
        <v>39</v>
      </c>
      <c r="S54" s="117"/>
      <c r="T54" s="117"/>
      <c r="U54" s="117"/>
      <c r="V54" s="117"/>
      <c r="W54" s="117"/>
      <c r="X54" s="117"/>
      <c r="Z54" s="48"/>
      <c r="AA54" s="50" t="s">
        <v>40</v>
      </c>
      <c r="AB54" s="50"/>
      <c r="AC54" s="48"/>
      <c r="AD54" s="48"/>
      <c r="AE54" s="49"/>
    </row>
    <row r="55" spans="2:31" ht="15.75" x14ac:dyDescent="0.25">
      <c r="U55" s="49"/>
      <c r="Z55" s="48"/>
      <c r="AA55" s="50" t="s">
        <v>41</v>
      </c>
      <c r="AB55" s="51"/>
      <c r="AC55" s="52"/>
      <c r="AD55" s="48"/>
      <c r="AE55" s="49"/>
    </row>
    <row r="56" spans="2:31" ht="15.75" x14ac:dyDescent="0.25">
      <c r="U56" s="49"/>
      <c r="Z56" s="48"/>
      <c r="AA56" s="50" t="s">
        <v>42</v>
      </c>
      <c r="AB56" s="51"/>
      <c r="AC56" s="52"/>
      <c r="AD56" s="48"/>
      <c r="AE56" s="49"/>
    </row>
    <row r="57" spans="2:31" ht="15.75" x14ac:dyDescent="0.25">
      <c r="B57" s="55"/>
      <c r="C57" s="55"/>
      <c r="D57" s="55"/>
      <c r="E57" s="55"/>
      <c r="F57" s="55"/>
      <c r="G57" s="55"/>
      <c r="H57" s="55"/>
      <c r="I57" s="49"/>
      <c r="J57" s="49"/>
      <c r="K57" s="55"/>
      <c r="L57" s="55"/>
      <c r="M57" s="49"/>
      <c r="U57" s="50"/>
      <c r="Z57" s="48"/>
      <c r="AA57" s="50" t="s">
        <v>43</v>
      </c>
      <c r="AB57" s="50"/>
      <c r="AC57" s="48"/>
      <c r="AD57" s="48"/>
      <c r="AE57" s="49"/>
    </row>
    <row r="58" spans="2:31" ht="15.75" x14ac:dyDescent="0.25">
      <c r="B58" s="55" t="s">
        <v>44</v>
      </c>
      <c r="C58" s="45"/>
      <c r="D58" s="45"/>
      <c r="E58" s="45"/>
      <c r="F58" s="45"/>
      <c r="G58" s="45"/>
      <c r="H58" s="45"/>
      <c r="I58" s="45"/>
      <c r="J58" s="50"/>
      <c r="K58" s="50"/>
      <c r="L58" s="45"/>
      <c r="M58" s="45"/>
      <c r="N58" s="49"/>
      <c r="O58" s="55"/>
      <c r="U58" s="49"/>
      <c r="Z58" s="48"/>
      <c r="AA58" s="50" t="s">
        <v>45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45"/>
      <c r="M59" s="45"/>
      <c r="N59" s="49"/>
      <c r="O59" s="55"/>
      <c r="U59" s="49"/>
      <c r="Z59" s="48"/>
      <c r="AA59" s="50" t="s">
        <v>46</v>
      </c>
      <c r="AB59" s="50"/>
      <c r="AC59" s="48"/>
      <c r="AD59" s="48"/>
      <c r="AE59" s="49"/>
    </row>
    <row r="60" spans="2:31" ht="15.75" x14ac:dyDescent="0.25">
      <c r="B60" s="49"/>
      <c r="C60" s="45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49"/>
      <c r="O60" s="55"/>
      <c r="U60" s="49"/>
      <c r="Z60" s="48"/>
      <c r="AA60" s="56" t="s">
        <v>47</v>
      </c>
      <c r="AB60" s="57"/>
      <c r="AC60" s="58"/>
      <c r="AD60" s="48"/>
      <c r="AE60" s="49"/>
    </row>
    <row r="61" spans="2:31" ht="15.75" x14ac:dyDescent="0.25">
      <c r="U61" s="49"/>
      <c r="Z61" s="58"/>
      <c r="AA61" s="56" t="s">
        <v>48</v>
      </c>
      <c r="AB61" s="57"/>
      <c r="AC61" s="58"/>
      <c r="AD61" s="58"/>
      <c r="AE61" s="59"/>
    </row>
    <row r="62" spans="2:31" ht="15.75" x14ac:dyDescent="0.25">
      <c r="B62" s="43"/>
      <c r="C62" s="43"/>
      <c r="D62" s="43"/>
      <c r="E62" s="43"/>
      <c r="F62" s="43"/>
      <c r="G62" s="43"/>
      <c r="H62" s="43"/>
      <c r="I62" s="43"/>
      <c r="U62" s="60"/>
      <c r="Z62" s="58"/>
      <c r="AD62" s="58"/>
      <c r="AE62" s="59"/>
    </row>
    <row r="63" spans="2:31" ht="15.75" x14ac:dyDescent="0.25">
      <c r="U63" s="60"/>
      <c r="Z63" s="58"/>
      <c r="AD63" s="58"/>
      <c r="AE63" s="59"/>
    </row>
  </sheetData>
  <mergeCells count="29">
    <mergeCell ref="B54:D54"/>
    <mergeCell ref="H54:N54"/>
    <mergeCell ref="R54:X54"/>
    <mergeCell ref="E48:F48"/>
    <mergeCell ref="H50:K50"/>
    <mergeCell ref="R50:U50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330" priority="1" stopIfTrue="1" operator="equal">
      <formula>0</formula>
    </cfRule>
  </conditionalFormatting>
  <conditionalFormatting sqref="D15:G19">
    <cfRule type="containsBlanks" dxfId="329" priority="11">
      <formula>LEN(TRIM(D15))=0</formula>
    </cfRule>
  </conditionalFormatting>
  <conditionalFormatting sqref="D21:G25">
    <cfRule type="containsBlanks" dxfId="328" priority="2">
      <formula>LEN(TRIM(D21))=0</formula>
    </cfRule>
  </conditionalFormatting>
  <conditionalFormatting sqref="H12:W12">
    <cfRule type="expression" priority="42">
      <formula>TEXT($D$9+COLUMN()-COLUMN($H$12),"ddd")="Sun"</formula>
    </cfRule>
    <cfRule type="expression" dxfId="327" priority="43">
      <formula>TEXT($D$9+COLUMN()-COLUMN($H$12),"ddd")="Sun"</formula>
    </cfRule>
  </conditionalFormatting>
  <conditionalFormatting sqref="H14:W14">
    <cfRule type="containsBlanks" dxfId="326" priority="20">
      <formula>LEN(TRIM(H14))=0</formula>
    </cfRule>
    <cfRule type="expression" dxfId="325" priority="21">
      <formula>EXACT(H14, "S")</formula>
    </cfRule>
    <cfRule type="expression" dxfId="324" priority="22">
      <formula>EXACT(H14, "R")</formula>
    </cfRule>
    <cfRule type="expression" dxfId="323" priority="23">
      <formula>EXACT(H14, "T")</formula>
    </cfRule>
    <cfRule type="containsText" dxfId="322" priority="24" operator="containsText" text="SH">
      <formula>NOT(ISERROR(SEARCH("SH",H14)))</formula>
    </cfRule>
    <cfRule type="expression" dxfId="321" priority="25">
      <formula>EXACT(H14, "RS")</formula>
    </cfRule>
    <cfRule type="containsText" dxfId="320" priority="26" operator="containsText" text="LH">
      <formula>NOT(ISERROR(SEARCH("LH",H14)))</formula>
    </cfRule>
    <cfRule type="expression" dxfId="319" priority="27">
      <formula>EXACT(H14, "LR")</formula>
    </cfRule>
    <cfRule type="expression" dxfId="318" priority="28">
      <formula>EXACT(H14, "L")</formula>
    </cfRule>
    <cfRule type="expression" dxfId="317" priority="29">
      <formula>EXACT(H14, "D")</formula>
    </cfRule>
    <cfRule type="expression" dxfId="316" priority="30">
      <formula>EXACT(H14, "A")</formula>
    </cfRule>
  </conditionalFormatting>
  <conditionalFormatting sqref="H15:W15">
    <cfRule type="containsBlanks" dxfId="315" priority="31">
      <formula>LEN(TRIM(H15))=0</formula>
    </cfRule>
  </conditionalFormatting>
  <conditionalFormatting sqref="H15:W47">
    <cfRule type="containsText" dxfId="314" priority="17" operator="containsText" text="12">
      <formula>NOT(ISERROR(SEARCH("12",H15)))</formula>
    </cfRule>
    <cfRule type="expression" dxfId="313" priority="18">
      <formula>H$14="LH"</formula>
    </cfRule>
    <cfRule type="expression" dxfId="312" priority="19" stopIfTrue="1">
      <formula>H$14="SH"</formula>
    </cfRule>
    <cfRule type="expression" dxfId="311" priority="32">
      <formula>EXACT(H15, "S")</formula>
    </cfRule>
    <cfRule type="expression" dxfId="310" priority="33">
      <formula>EXACT(H15, "R")</formula>
    </cfRule>
    <cfRule type="expression" dxfId="309" priority="34">
      <formula>EXACT(H15, "T")</formula>
    </cfRule>
    <cfRule type="containsText" dxfId="308" priority="35" operator="containsText" text="SH">
      <formula>NOT(ISERROR(SEARCH("SH",H15)))</formula>
    </cfRule>
    <cfRule type="expression" dxfId="307" priority="36">
      <formula>EXACT(H15, "RS")</formula>
    </cfRule>
    <cfRule type="containsText" dxfId="306" priority="37" operator="containsText" text="RH">
      <formula>NOT(ISERROR(SEARCH("RH",H15)))</formula>
    </cfRule>
    <cfRule type="expression" dxfId="305" priority="38">
      <formula>EXACT(H15, "LR")</formula>
    </cfRule>
    <cfRule type="expression" dxfId="304" priority="39">
      <formula>EXACT(H15, "L")</formula>
    </cfRule>
    <cfRule type="expression" dxfId="303" priority="40">
      <formula>EXACT(H15, "D")</formula>
    </cfRule>
    <cfRule type="expression" dxfId="302" priority="41">
      <formula>EXACT(H15, "A")</formula>
    </cfRule>
  </conditionalFormatting>
  <conditionalFormatting sqref="H15:AE19 D20:AE20 H21:AE25 C26:AE47">
    <cfRule type="containsBlanks" dxfId="301" priority="44">
      <formula>LEN(TRIM(C15))=0</formula>
    </cfRule>
  </conditionalFormatting>
  <dataValidations count="1">
    <dataValidation type="list" allowBlank="1" showInputMessage="1" showErrorMessage="1" sqref="H14:W14" xr:uid="{D8826CA0-1957-46C6-B37D-9CEA16DF06DC}">
      <formula1>"SH, LH"</formula1>
    </dataValidation>
  </dataValidations>
  <pageMargins left="0.7" right="0.7" top="0.75" bottom="0.75" header="0.3" footer="0.3"/>
  <pageSetup scale="47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D59F-53E9-46F4-A190-D33E88812D99}">
  <dimension ref="B1:AE62"/>
  <sheetViews>
    <sheetView topLeftCell="A6" zoomScale="70" zoomScaleNormal="70" workbookViewId="0">
      <selection activeCell="C18" sqref="C18:D1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126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127</v>
      </c>
      <c r="D15" s="31" t="s">
        <v>261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128</v>
      </c>
      <c r="D16" s="31" t="s">
        <v>204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129</v>
      </c>
      <c r="D17" s="31" t="s">
        <v>223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14</v>
      </c>
      <c r="Y17" s="34">
        <f t="shared" si="3"/>
        <v>112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2.25" customHeight="1" x14ac:dyDescent="0.25">
      <c r="B18" s="30">
        <f t="shared" si="2"/>
        <v>4</v>
      </c>
      <c r="C18" s="61" t="s">
        <v>130</v>
      </c>
      <c r="D18" s="31" t="s">
        <v>263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260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1</v>
      </c>
      <c r="Y20" s="34">
        <f t="shared" si="3"/>
        <v>8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2</v>
      </c>
    </row>
    <row r="21" spans="2:31" ht="24.95" customHeight="1" x14ac:dyDescent="0.25">
      <c r="B21" s="30">
        <f t="shared" si="2"/>
        <v>7</v>
      </c>
      <c r="C21" s="66" t="s">
        <v>132</v>
      </c>
      <c r="D21" s="31" t="s">
        <v>209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1</v>
      </c>
      <c r="Y21" s="34">
        <f t="shared" si="3"/>
        <v>8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6" t="s">
        <v>132</v>
      </c>
      <c r="D22" s="31" t="s">
        <v>209</v>
      </c>
      <c r="E22" s="31" t="s">
        <v>29</v>
      </c>
      <c r="F22" s="31" t="s">
        <v>26</v>
      </c>
      <c r="G22" s="62" t="s">
        <v>55</v>
      </c>
      <c r="H22" s="33"/>
      <c r="I22" s="34"/>
      <c r="J22" s="34"/>
      <c r="K22" s="34"/>
      <c r="L22" s="34"/>
      <c r="M22" s="34"/>
      <c r="N22" s="34"/>
      <c r="O22" s="34"/>
      <c r="P22" s="34"/>
      <c r="Q22" s="34">
        <v>8</v>
      </c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1</v>
      </c>
    </row>
    <row r="23" spans="2:31" ht="24.95" customHeight="1" x14ac:dyDescent="0.25">
      <c r="B23" s="30">
        <f t="shared" si="2"/>
        <v>9</v>
      </c>
      <c r="C23" s="61" t="s">
        <v>131</v>
      </c>
      <c r="D23" s="31" t="s">
        <v>260</v>
      </c>
      <c r="E23" s="31" t="s">
        <v>29</v>
      </c>
      <c r="F23" s="31" t="s">
        <v>26</v>
      </c>
      <c r="G23" s="62" t="s">
        <v>55</v>
      </c>
      <c r="H23" s="33"/>
      <c r="I23" s="34"/>
      <c r="J23" s="34">
        <v>8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1</v>
      </c>
    </row>
    <row r="24" spans="2:31" ht="33" customHeight="1" x14ac:dyDescent="0.25">
      <c r="B24" s="30">
        <f t="shared" si="2"/>
        <v>10</v>
      </c>
      <c r="C24" s="61" t="s">
        <v>115</v>
      </c>
      <c r="D24" s="31" t="s">
        <v>257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>
        <v>8</v>
      </c>
      <c r="L24" s="34"/>
      <c r="M24" s="34"/>
      <c r="N24" s="34"/>
      <c r="O24" s="34"/>
      <c r="P24" s="34"/>
      <c r="Q24" s="34"/>
      <c r="R24" s="34">
        <v>8</v>
      </c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2.25" customHeight="1" x14ac:dyDescent="0.25">
      <c r="B25" s="30">
        <f t="shared" si="2"/>
        <v>11</v>
      </c>
      <c r="C25" s="61" t="s">
        <v>115</v>
      </c>
      <c r="D25" s="31" t="s">
        <v>262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>
        <v>8</v>
      </c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6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61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5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61</v>
      </c>
      <c r="Y47" s="42">
        <f t="shared" si="8"/>
        <v>488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phoneticPr fontId="12" type="noConversion"/>
  <conditionalFormatting sqref="C15:C25">
    <cfRule type="cellIs" dxfId="300" priority="4" stopIfTrue="1" operator="equal">
      <formula>0</formula>
    </cfRule>
  </conditionalFormatting>
  <conditionalFormatting sqref="C27">
    <cfRule type="cellIs" dxfId="299" priority="5" stopIfTrue="1" operator="equal">
      <formula>0</formula>
    </cfRule>
  </conditionalFormatting>
  <conditionalFormatting sqref="D15:G18">
    <cfRule type="containsBlanks" dxfId="298" priority="12">
      <formula>LEN(TRIM(D15))=0</formula>
    </cfRule>
  </conditionalFormatting>
  <conditionalFormatting sqref="D20:G25">
    <cfRule type="containsBlanks" dxfId="297" priority="1">
      <formula>LEN(TRIM(D20))=0</formula>
    </cfRule>
  </conditionalFormatting>
  <conditionalFormatting sqref="H12:W12">
    <cfRule type="expression" priority="43">
      <formula>TEXT($D$9+COLUMN()-COLUMN($H$12),"ddd")="Sun"</formula>
    </cfRule>
    <cfRule type="expression" dxfId="296" priority="44">
      <formula>TEXT($D$9+COLUMN()-COLUMN($H$12),"ddd")="Sun"</formula>
    </cfRule>
  </conditionalFormatting>
  <conditionalFormatting sqref="H14:W14">
    <cfRule type="containsBlanks" dxfId="295" priority="21">
      <formula>LEN(TRIM(H14))=0</formula>
    </cfRule>
    <cfRule type="expression" dxfId="294" priority="22">
      <formula>EXACT(H14, "S")</formula>
    </cfRule>
    <cfRule type="expression" dxfId="293" priority="23">
      <formula>EXACT(H14, "R")</formula>
    </cfRule>
    <cfRule type="expression" dxfId="292" priority="24">
      <formula>EXACT(H14, "T")</formula>
    </cfRule>
    <cfRule type="containsText" dxfId="291" priority="25" operator="containsText" text="SH">
      <formula>NOT(ISERROR(SEARCH("SH",H14)))</formula>
    </cfRule>
    <cfRule type="expression" dxfId="290" priority="26">
      <formula>EXACT(H14, "RS")</formula>
    </cfRule>
    <cfRule type="containsText" dxfId="289" priority="27" operator="containsText" text="LH">
      <formula>NOT(ISERROR(SEARCH("LH",H14)))</formula>
    </cfRule>
    <cfRule type="expression" dxfId="288" priority="28">
      <formula>EXACT(H14, "LR")</formula>
    </cfRule>
    <cfRule type="expression" dxfId="287" priority="29">
      <formula>EXACT(H14, "L")</formula>
    </cfRule>
    <cfRule type="expression" dxfId="286" priority="30">
      <formula>EXACT(H14, "D")</formula>
    </cfRule>
    <cfRule type="expression" dxfId="285" priority="31">
      <formula>EXACT(H14, "A")</formula>
    </cfRule>
  </conditionalFormatting>
  <conditionalFormatting sqref="H15:W15">
    <cfRule type="containsBlanks" dxfId="284" priority="32">
      <formula>LEN(TRIM(H15))=0</formula>
    </cfRule>
  </conditionalFormatting>
  <conditionalFormatting sqref="H15:W46">
    <cfRule type="containsText" dxfId="283" priority="18" operator="containsText" text="12">
      <formula>NOT(ISERROR(SEARCH("12",H15)))</formula>
    </cfRule>
    <cfRule type="expression" dxfId="282" priority="19">
      <formula>H$14="LH"</formula>
    </cfRule>
    <cfRule type="expression" dxfId="281" priority="20" stopIfTrue="1">
      <formula>H$14="SH"</formula>
    </cfRule>
    <cfRule type="expression" dxfId="280" priority="33">
      <formula>EXACT(H15, "S")</formula>
    </cfRule>
    <cfRule type="expression" dxfId="279" priority="34">
      <formula>EXACT(H15, "R")</formula>
    </cfRule>
    <cfRule type="expression" dxfId="278" priority="35">
      <formula>EXACT(H15, "T")</formula>
    </cfRule>
    <cfRule type="containsText" dxfId="277" priority="36" operator="containsText" text="SH">
      <formula>NOT(ISERROR(SEARCH("SH",H15)))</formula>
    </cfRule>
    <cfRule type="expression" dxfId="276" priority="37">
      <formula>EXACT(H15, "RS")</formula>
    </cfRule>
    <cfRule type="containsText" dxfId="275" priority="38" operator="containsText" text="RH">
      <formula>NOT(ISERROR(SEARCH("RH",H15)))</formula>
    </cfRule>
    <cfRule type="expression" dxfId="274" priority="39">
      <formula>EXACT(H15, "LR")</formula>
    </cfRule>
    <cfRule type="expression" dxfId="273" priority="40">
      <formula>EXACT(H15, "L")</formula>
    </cfRule>
    <cfRule type="expression" dxfId="272" priority="41">
      <formula>EXACT(H15, "D")</formula>
    </cfRule>
    <cfRule type="expression" dxfId="271" priority="42">
      <formula>EXACT(H15, "A")</formula>
    </cfRule>
  </conditionalFormatting>
  <conditionalFormatting sqref="H15:AE18 D19:AE19 H20:AE25 C26:AE26 D27:AE27 C28:AE46">
    <cfRule type="containsBlanks" dxfId="270" priority="45">
      <formula>LEN(TRIM(C15))=0</formula>
    </cfRule>
  </conditionalFormatting>
  <dataValidations count="1">
    <dataValidation type="list" allowBlank="1" showInputMessage="1" showErrorMessage="1" sqref="H14:W14" xr:uid="{E8A854BF-F90F-45FF-BF82-1D2D25CBC561}">
      <formula1>"SH, LH"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D58-AAD7-44E7-A8E8-81649445BF94}"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133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134</v>
      </c>
      <c r="D15" s="31" t="s">
        <v>207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135</v>
      </c>
      <c r="D16" s="31" t="s">
        <v>206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1.5" customHeight="1" x14ac:dyDescent="0.25">
      <c r="B17" s="30">
        <f t="shared" si="2"/>
        <v>3</v>
      </c>
      <c r="C17" s="61" t="s">
        <v>136</v>
      </c>
      <c r="D17" s="31" t="s">
        <v>205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137</v>
      </c>
      <c r="D18" s="31" t="s">
        <v>288</v>
      </c>
      <c r="E18" s="31" t="s">
        <v>29</v>
      </c>
      <c r="F18" s="31" t="s">
        <v>28</v>
      </c>
      <c r="G18" s="63" t="s">
        <v>57</v>
      </c>
      <c r="H18" s="33" t="s">
        <v>27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 t="s">
        <v>27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12</v>
      </c>
      <c r="Y18" s="34">
        <f t="shared" si="3"/>
        <v>96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12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131</v>
      </c>
      <c r="D20" s="31" t="s">
        <v>260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131</v>
      </c>
      <c r="D21" s="31" t="s">
        <v>260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138</v>
      </c>
      <c r="D22" s="31" t="s">
        <v>205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205</v>
      </c>
      <c r="E23" s="31" t="s">
        <v>29</v>
      </c>
      <c r="F23" s="31" t="s">
        <v>28</v>
      </c>
      <c r="G23" s="63" t="s">
        <v>57</v>
      </c>
      <c r="H23" s="33">
        <v>8</v>
      </c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3</v>
      </c>
      <c r="Y23" s="34">
        <f t="shared" si="3"/>
        <v>24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3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69" priority="2" stopIfTrue="1" operator="equal">
      <formula>0</formula>
    </cfRule>
  </conditionalFormatting>
  <conditionalFormatting sqref="D15:G18">
    <cfRule type="containsBlanks" dxfId="268" priority="8">
      <formula>LEN(TRIM(D15))=0</formula>
    </cfRule>
  </conditionalFormatting>
  <conditionalFormatting sqref="D20:G23">
    <cfRule type="containsBlanks" dxfId="267" priority="1">
      <formula>LEN(TRIM(D20))=0</formula>
    </cfRule>
  </conditionalFormatting>
  <conditionalFormatting sqref="H12:W12">
    <cfRule type="expression" priority="39">
      <formula>TEXT($D$9+COLUMN()-COLUMN($H$12),"ddd")="Sun"</formula>
    </cfRule>
    <cfRule type="expression" dxfId="266" priority="40">
      <formula>TEXT($D$9+COLUMN()-COLUMN($H$12),"ddd")="Sun"</formula>
    </cfRule>
  </conditionalFormatting>
  <conditionalFormatting sqref="H14:W14">
    <cfRule type="containsBlanks" dxfId="265" priority="17">
      <formula>LEN(TRIM(H14))=0</formula>
    </cfRule>
    <cfRule type="expression" dxfId="264" priority="18">
      <formula>EXACT(H14, "S")</formula>
    </cfRule>
    <cfRule type="expression" dxfId="263" priority="19">
      <formula>EXACT(H14, "R")</formula>
    </cfRule>
    <cfRule type="expression" dxfId="262" priority="20">
      <formula>EXACT(H14, "T")</formula>
    </cfRule>
    <cfRule type="containsText" dxfId="261" priority="21" operator="containsText" text="SH">
      <formula>NOT(ISERROR(SEARCH("SH",H14)))</formula>
    </cfRule>
    <cfRule type="expression" dxfId="260" priority="22">
      <formula>EXACT(H14, "RS")</formula>
    </cfRule>
    <cfRule type="containsText" dxfId="259" priority="23" operator="containsText" text="LH">
      <formula>NOT(ISERROR(SEARCH("LH",H14)))</formula>
    </cfRule>
    <cfRule type="expression" dxfId="258" priority="24">
      <formula>EXACT(H14, "LR")</formula>
    </cfRule>
    <cfRule type="expression" dxfId="257" priority="25">
      <formula>EXACT(H14, "L")</formula>
    </cfRule>
    <cfRule type="expression" dxfId="256" priority="26">
      <formula>EXACT(H14, "D")</formula>
    </cfRule>
    <cfRule type="expression" dxfId="255" priority="27">
      <formula>EXACT(H14, "A")</formula>
    </cfRule>
  </conditionalFormatting>
  <conditionalFormatting sqref="H15:W15">
    <cfRule type="containsBlanks" dxfId="254" priority="28">
      <formula>LEN(TRIM(H15))=0</formula>
    </cfRule>
  </conditionalFormatting>
  <conditionalFormatting sqref="H15:W46">
    <cfRule type="containsText" dxfId="253" priority="14" operator="containsText" text="12">
      <formula>NOT(ISERROR(SEARCH("12",H15)))</formula>
    </cfRule>
    <cfRule type="expression" dxfId="252" priority="15">
      <formula>H$14="LH"</formula>
    </cfRule>
    <cfRule type="expression" dxfId="251" priority="16" stopIfTrue="1">
      <formula>H$14="SH"</formula>
    </cfRule>
    <cfRule type="expression" dxfId="250" priority="29">
      <formula>EXACT(H15, "S")</formula>
    </cfRule>
    <cfRule type="expression" dxfId="249" priority="30">
      <formula>EXACT(H15, "R")</formula>
    </cfRule>
    <cfRule type="expression" dxfId="248" priority="31">
      <formula>EXACT(H15, "T")</formula>
    </cfRule>
    <cfRule type="containsText" dxfId="247" priority="32" operator="containsText" text="SH">
      <formula>NOT(ISERROR(SEARCH("SH",H15)))</formula>
    </cfRule>
    <cfRule type="expression" dxfId="246" priority="33">
      <formula>EXACT(H15, "RS")</formula>
    </cfRule>
    <cfRule type="containsText" dxfId="245" priority="34" operator="containsText" text="RH">
      <formula>NOT(ISERROR(SEARCH("RH",H15)))</formula>
    </cfRule>
    <cfRule type="expression" dxfId="244" priority="35">
      <formula>EXACT(H15, "LR")</formula>
    </cfRule>
    <cfRule type="expression" dxfId="243" priority="36">
      <formula>EXACT(H15, "L")</formula>
    </cfRule>
    <cfRule type="expression" dxfId="242" priority="37">
      <formula>EXACT(H15, "D")</formula>
    </cfRule>
    <cfRule type="expression" dxfId="241" priority="38">
      <formula>EXACT(H15, "A")</formula>
    </cfRule>
  </conditionalFormatting>
  <conditionalFormatting sqref="H15:AE18 D19:AE19 H20:AE23 C24:AE46">
    <cfRule type="containsBlanks" dxfId="240" priority="41">
      <formula>LEN(TRIM(C15))=0</formula>
    </cfRule>
  </conditionalFormatting>
  <dataValidations count="1">
    <dataValidation type="list" allowBlank="1" showInputMessage="1" showErrorMessage="1" sqref="H14:W14" xr:uid="{D3DF065E-371D-42C4-A893-85BD23AB6FD2}">
      <formula1>"SH, LH"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AC38-2116-42E0-9E72-28092CC3CDC2}">
  <sheetPr>
    <pageSetUpPr fitToPage="1"/>
  </sheetPr>
  <dimension ref="B1:AE62"/>
  <sheetViews>
    <sheetView topLeftCell="A11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8.285156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139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140</v>
      </c>
      <c r="D15" s="31" t="s">
        <v>264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141</v>
      </c>
      <c r="D16" s="31" t="s">
        <v>284</v>
      </c>
      <c r="E16" s="31" t="s">
        <v>29</v>
      </c>
      <c r="F16" s="31" t="s">
        <v>26</v>
      </c>
      <c r="G16" s="62" t="s">
        <v>55</v>
      </c>
      <c r="H16" s="33" t="s">
        <v>27</v>
      </c>
      <c r="I16" s="34" t="s">
        <v>93</v>
      </c>
      <c r="J16" s="34" t="s">
        <v>93</v>
      </c>
      <c r="K16" s="34" t="s">
        <v>93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9</v>
      </c>
    </row>
    <row r="17" spans="2:31" ht="30.75" customHeight="1" x14ac:dyDescent="0.25">
      <c r="B17" s="30">
        <f t="shared" si="2"/>
        <v>3</v>
      </c>
      <c r="C17" s="61" t="s">
        <v>142</v>
      </c>
      <c r="D17" s="31" t="s">
        <v>187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 t="s">
        <v>93</v>
      </c>
      <c r="O17" s="34" t="s">
        <v>93</v>
      </c>
      <c r="P17" s="34" t="s">
        <v>93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10</v>
      </c>
      <c r="Y17" s="34">
        <f t="shared" si="3"/>
        <v>80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1.5" customHeight="1" x14ac:dyDescent="0.25">
      <c r="B18" s="30">
        <f t="shared" si="2"/>
        <v>4</v>
      </c>
      <c r="C18" s="61" t="s">
        <v>143</v>
      </c>
      <c r="D18" s="31" t="s">
        <v>208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4">
        <v>8</v>
      </c>
      <c r="X18" s="36" cm="1">
        <f t="array" ref="X18">SUMPRODUCT(--ISNUMBER(H18:W18), --($H$14:$W$14&lt;&gt;"LH"), --($H$14:$W$14&lt;&gt;"SH"))</f>
        <v>14</v>
      </c>
      <c r="Y18" s="34">
        <f t="shared" si="3"/>
        <v>112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14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75" customHeight="1" x14ac:dyDescent="0.25">
      <c r="B20" s="30">
        <f t="shared" si="2"/>
        <v>6</v>
      </c>
      <c r="C20" s="61" t="s">
        <v>144</v>
      </c>
      <c r="D20" s="31" t="s">
        <v>265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75" customHeight="1" x14ac:dyDescent="0.25">
      <c r="B21" s="30">
        <f t="shared" si="2"/>
        <v>7</v>
      </c>
      <c r="C21" s="61" t="s">
        <v>144</v>
      </c>
      <c r="D21" s="31" t="s">
        <v>265</v>
      </c>
      <c r="E21" s="31" t="s">
        <v>29</v>
      </c>
      <c r="F21" s="31" t="s">
        <v>26</v>
      </c>
      <c r="G21" s="62" t="s">
        <v>55</v>
      </c>
      <c r="H21" s="33">
        <v>8</v>
      </c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3</v>
      </c>
      <c r="Y21" s="34">
        <f t="shared" si="3"/>
        <v>24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3</v>
      </c>
    </row>
    <row r="22" spans="2:31" ht="24.95" customHeight="1" x14ac:dyDescent="0.25">
      <c r="B22" s="30">
        <f t="shared" si="2"/>
        <v>8</v>
      </c>
      <c r="C22" s="61" t="s">
        <v>132</v>
      </c>
      <c r="D22" s="31" t="s">
        <v>209</v>
      </c>
      <c r="E22" s="31" t="s">
        <v>29</v>
      </c>
      <c r="F22" s="31" t="s">
        <v>26</v>
      </c>
      <c r="G22" s="62" t="s">
        <v>55</v>
      </c>
      <c r="H22" s="33"/>
      <c r="I22" s="34">
        <v>8</v>
      </c>
      <c r="J22" s="34">
        <v>8</v>
      </c>
      <c r="K22" s="34">
        <v>8</v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3</v>
      </c>
      <c r="Y22" s="34">
        <f t="shared" si="3"/>
        <v>24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3</v>
      </c>
    </row>
    <row r="23" spans="2:31" ht="36" customHeight="1" x14ac:dyDescent="0.25">
      <c r="B23" s="30">
        <f t="shared" si="2"/>
        <v>9</v>
      </c>
      <c r="C23" s="61" t="s">
        <v>145</v>
      </c>
      <c r="D23" s="31" t="s">
        <v>224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8.25" customHeight="1" x14ac:dyDescent="0.25">
      <c r="B24" s="30">
        <f t="shared" si="2"/>
        <v>10</v>
      </c>
      <c r="C24" s="61" t="s">
        <v>116</v>
      </c>
      <c r="D24" s="31" t="s">
        <v>258</v>
      </c>
      <c r="E24" s="31" t="s">
        <v>29</v>
      </c>
      <c r="F24" s="31" t="s">
        <v>28</v>
      </c>
      <c r="G24" s="62" t="s">
        <v>56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3.75" customHeight="1" x14ac:dyDescent="0.25">
      <c r="B25" s="30">
        <f t="shared" si="2"/>
        <v>11</v>
      </c>
      <c r="C25" s="61" t="s">
        <v>117</v>
      </c>
      <c r="D25" s="31" t="s">
        <v>287</v>
      </c>
      <c r="E25" s="31" t="s">
        <v>29</v>
      </c>
      <c r="F25" s="31" t="s">
        <v>28</v>
      </c>
      <c r="G25" s="62" t="s">
        <v>56</v>
      </c>
      <c r="H25" s="33"/>
      <c r="I25" s="34"/>
      <c r="J25" s="34"/>
      <c r="K25" s="34"/>
      <c r="L25" s="34"/>
      <c r="M25" s="34"/>
      <c r="N25" s="34"/>
      <c r="O25" s="34"/>
      <c r="P25" s="34">
        <v>8</v>
      </c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/>
    </row>
    <row r="26" spans="2:31" ht="39" customHeight="1" x14ac:dyDescent="0.25">
      <c r="B26" s="30">
        <f t="shared" si="2"/>
        <v>12</v>
      </c>
      <c r="C26" s="61" t="s">
        <v>138</v>
      </c>
      <c r="D26" s="31" t="s">
        <v>205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>
        <v>8</v>
      </c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1</v>
      </c>
      <c r="Y26" s="34">
        <f t="shared" si="3"/>
        <v>8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1</v>
      </c>
    </row>
    <row r="27" spans="2:31" ht="39" customHeight="1" x14ac:dyDescent="0.25">
      <c r="B27" s="30">
        <f t="shared" si="2"/>
        <v>13</v>
      </c>
      <c r="C27" s="61" t="s">
        <v>138</v>
      </c>
      <c r="D27" s="31" t="s">
        <v>205</v>
      </c>
      <c r="E27" s="31" t="s">
        <v>29</v>
      </c>
      <c r="F27" s="31" t="s">
        <v>28</v>
      </c>
      <c r="G27" s="63" t="s">
        <v>57</v>
      </c>
      <c r="H27" s="33"/>
      <c r="I27" s="34"/>
      <c r="J27" s="34">
        <v>8</v>
      </c>
      <c r="K27" s="34"/>
      <c r="L27" s="34"/>
      <c r="M27" s="34"/>
      <c r="N27" s="34"/>
      <c r="O27" s="34"/>
      <c r="P27" s="34"/>
      <c r="Q27" s="34">
        <v>8</v>
      </c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88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3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1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239" priority="4" stopIfTrue="1" operator="equal">
      <formula>0</formula>
    </cfRule>
  </conditionalFormatting>
  <conditionalFormatting sqref="D15:G18">
    <cfRule type="containsBlanks" dxfId="238" priority="7">
      <formula>LEN(TRIM(D15))=0</formula>
    </cfRule>
  </conditionalFormatting>
  <conditionalFormatting sqref="D20:G27">
    <cfRule type="containsBlanks" dxfId="23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236" priority="35">
      <formula>TEXT($D$9+COLUMN()-COLUMN($H$12),"ddd")="Sun"</formula>
    </cfRule>
  </conditionalFormatting>
  <conditionalFormatting sqref="H14:W14">
    <cfRule type="containsBlanks" dxfId="235" priority="12">
      <formula>LEN(TRIM(H14))=0</formula>
    </cfRule>
    <cfRule type="expression" dxfId="234" priority="13">
      <formula>EXACT(H14, "S")</formula>
    </cfRule>
    <cfRule type="expression" dxfId="233" priority="14">
      <formula>EXACT(H14, "R")</formula>
    </cfRule>
    <cfRule type="expression" dxfId="232" priority="15">
      <formula>EXACT(H14, "T")</formula>
    </cfRule>
    <cfRule type="containsText" dxfId="231" priority="16" operator="containsText" text="SH">
      <formula>NOT(ISERROR(SEARCH("SH",H14)))</formula>
    </cfRule>
    <cfRule type="expression" dxfId="230" priority="17">
      <formula>EXACT(H14, "RS")</formula>
    </cfRule>
    <cfRule type="containsText" dxfId="229" priority="18" operator="containsText" text="LH">
      <formula>NOT(ISERROR(SEARCH("LH",H14)))</formula>
    </cfRule>
    <cfRule type="expression" dxfId="228" priority="19">
      <formula>EXACT(H14, "LR")</formula>
    </cfRule>
    <cfRule type="expression" dxfId="227" priority="20">
      <formula>EXACT(H14, "L")</formula>
    </cfRule>
    <cfRule type="expression" dxfId="226" priority="21">
      <formula>EXACT(H14, "D")</formula>
    </cfRule>
    <cfRule type="expression" dxfId="225" priority="22">
      <formula>EXACT(H14, "A")</formula>
    </cfRule>
  </conditionalFormatting>
  <conditionalFormatting sqref="H15:W15">
    <cfRule type="containsBlanks" dxfId="224" priority="23">
      <formula>LEN(TRIM(H15))=0</formula>
    </cfRule>
  </conditionalFormatting>
  <conditionalFormatting sqref="H15:W46">
    <cfRule type="containsText" dxfId="223" priority="9" operator="containsText" text="12">
      <formula>NOT(ISERROR(SEARCH("12",H15)))</formula>
    </cfRule>
    <cfRule type="expression" dxfId="222" priority="10">
      <formula>H$14="LH"</formula>
    </cfRule>
    <cfRule type="expression" dxfId="221" priority="11" stopIfTrue="1">
      <formula>H$14="SH"</formula>
    </cfRule>
    <cfRule type="expression" dxfId="220" priority="24">
      <formula>EXACT(H15, "S")</formula>
    </cfRule>
    <cfRule type="expression" dxfId="219" priority="25">
      <formula>EXACT(H15, "R")</formula>
    </cfRule>
    <cfRule type="expression" dxfId="218" priority="26">
      <formula>EXACT(H15, "T")</formula>
    </cfRule>
    <cfRule type="containsText" dxfId="217" priority="27" operator="containsText" text="SH">
      <formula>NOT(ISERROR(SEARCH("SH",H15)))</formula>
    </cfRule>
    <cfRule type="expression" dxfId="216" priority="28">
      <formula>EXACT(H15, "RS")</formula>
    </cfRule>
    <cfRule type="containsText" dxfId="215" priority="29" operator="containsText" text="RH">
      <formula>NOT(ISERROR(SEARCH("RH",H15)))</formula>
    </cfRule>
    <cfRule type="expression" dxfId="214" priority="30">
      <formula>EXACT(H15, "LR")</formula>
    </cfRule>
    <cfRule type="expression" dxfId="213" priority="31">
      <formula>EXACT(H15, "L")</formula>
    </cfRule>
    <cfRule type="expression" dxfId="212" priority="32">
      <formula>EXACT(H15, "D")</formula>
    </cfRule>
    <cfRule type="expression" dxfId="211" priority="33">
      <formula>EXACT(H15, "A")</formula>
    </cfRule>
  </conditionalFormatting>
  <conditionalFormatting sqref="H15:AE18 D19:AE19 H20:AE27 C28:AE46">
    <cfRule type="containsBlanks" dxfId="210" priority="36">
      <formula>LEN(TRIM(C15))=0</formula>
    </cfRule>
  </conditionalFormatting>
  <dataValidations count="1">
    <dataValidation type="list" allowBlank="1" showInputMessage="1" showErrorMessage="1" sqref="H14:W14" xr:uid="{C1A90B6B-2019-4F8E-86B4-2AFC9F3A656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113A-D8C0-451A-A9CA-9F4AD7B2CDD5}">
  <sheetPr>
    <pageSetUpPr fitToPage="1"/>
  </sheetPr>
  <dimension ref="B1:AE62"/>
  <sheetViews>
    <sheetView zoomScale="70" zoomScaleNormal="70" workbookViewId="0">
      <selection activeCell="C15" sqref="C15:D1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0.28515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146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147</v>
      </c>
      <c r="D15" s="31" t="s">
        <v>262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148</v>
      </c>
      <c r="D16" s="31" t="s">
        <v>212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4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" customHeight="1" x14ac:dyDescent="0.25">
      <c r="B17" s="30">
        <f t="shared" si="2"/>
        <v>3</v>
      </c>
      <c r="C17" s="61" t="s">
        <v>149</v>
      </c>
      <c r="D17" s="31" t="s">
        <v>210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9.25" customHeight="1" x14ac:dyDescent="0.25">
      <c r="B18" s="30">
        <f t="shared" si="2"/>
        <v>4</v>
      </c>
      <c r="C18" s="61" t="s">
        <v>150</v>
      </c>
      <c r="D18" s="31" t="s">
        <v>266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144</v>
      </c>
      <c r="D20" s="31" t="s">
        <v>211</v>
      </c>
      <c r="E20" s="31" t="s">
        <v>29</v>
      </c>
      <c r="F20" s="31" t="s">
        <v>26</v>
      </c>
      <c r="G20" s="62" t="s">
        <v>54</v>
      </c>
      <c r="H20" s="33"/>
      <c r="I20" s="34">
        <v>8</v>
      </c>
      <c r="J20" s="34"/>
      <c r="K20" s="34"/>
      <c r="L20" s="34"/>
      <c r="M20" s="34"/>
      <c r="N20" s="34"/>
      <c r="O20" s="34"/>
      <c r="P20" s="34">
        <v>8</v>
      </c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144</v>
      </c>
      <c r="D21" s="31" t="s">
        <v>211</v>
      </c>
      <c r="E21" s="31" t="s">
        <v>29</v>
      </c>
      <c r="F21" s="31" t="s">
        <v>26</v>
      </c>
      <c r="G21" s="62" t="s">
        <v>55</v>
      </c>
      <c r="H21" s="33"/>
      <c r="I21" s="34"/>
      <c r="J21" s="34">
        <v>8</v>
      </c>
      <c r="K21" s="34"/>
      <c r="L21" s="34"/>
      <c r="M21" s="34"/>
      <c r="N21" s="34"/>
      <c r="O21" s="34"/>
      <c r="P21" s="34"/>
      <c r="Q21" s="34">
        <v>8</v>
      </c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2.25" customHeight="1" x14ac:dyDescent="0.25">
      <c r="B22" s="30">
        <f t="shared" si="2"/>
        <v>8</v>
      </c>
      <c r="C22" s="61" t="s">
        <v>138</v>
      </c>
      <c r="D22" s="31" t="s">
        <v>205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>
        <v>8</v>
      </c>
      <c r="L22" s="34"/>
      <c r="M22" s="34"/>
      <c r="N22" s="34"/>
      <c r="O22" s="34"/>
      <c r="P22" s="34"/>
      <c r="Q22" s="34"/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0.75" customHeight="1" x14ac:dyDescent="0.25">
      <c r="B23" s="30">
        <f t="shared" si="2"/>
        <v>9</v>
      </c>
      <c r="C23" s="61" t="s">
        <v>138</v>
      </c>
      <c r="D23" s="31" t="s">
        <v>205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3">
    <cfRule type="cellIs" dxfId="209" priority="2" stopIfTrue="1" operator="equal">
      <formula>0</formula>
    </cfRule>
  </conditionalFormatting>
  <conditionalFormatting sqref="D15:G18">
    <cfRule type="containsBlanks" dxfId="208" priority="4">
      <formula>LEN(TRIM(D15))=0</formula>
    </cfRule>
  </conditionalFormatting>
  <conditionalFormatting sqref="D20:G23">
    <cfRule type="containsBlanks" dxfId="207" priority="1">
      <formula>LEN(TRIM(D20))=0</formula>
    </cfRule>
  </conditionalFormatting>
  <conditionalFormatting sqref="H12:W12">
    <cfRule type="expression" priority="31">
      <formula>TEXT($D$9+COLUMN()-COLUMN($H$12),"ddd")="Sun"</formula>
    </cfRule>
    <cfRule type="expression" dxfId="206" priority="32">
      <formula>TEXT($D$9+COLUMN()-COLUMN($H$12),"ddd")="Sun"</formula>
    </cfRule>
  </conditionalFormatting>
  <conditionalFormatting sqref="H14:W14">
    <cfRule type="containsBlanks" dxfId="205" priority="9">
      <formula>LEN(TRIM(H14))=0</formula>
    </cfRule>
    <cfRule type="expression" dxfId="204" priority="10">
      <formula>EXACT(H14, "S")</formula>
    </cfRule>
    <cfRule type="expression" dxfId="203" priority="11">
      <formula>EXACT(H14, "R")</formula>
    </cfRule>
    <cfRule type="expression" dxfId="202" priority="12">
      <formula>EXACT(H14, "T")</formula>
    </cfRule>
    <cfRule type="containsText" dxfId="201" priority="13" operator="containsText" text="SH">
      <formula>NOT(ISERROR(SEARCH("SH",H14)))</formula>
    </cfRule>
    <cfRule type="expression" dxfId="200" priority="14">
      <formula>EXACT(H14, "RS")</formula>
    </cfRule>
    <cfRule type="containsText" dxfId="199" priority="15" operator="containsText" text="LH">
      <formula>NOT(ISERROR(SEARCH("LH",H14)))</formula>
    </cfRule>
    <cfRule type="expression" dxfId="198" priority="16">
      <formula>EXACT(H14, "LR")</formula>
    </cfRule>
    <cfRule type="expression" dxfId="197" priority="17">
      <formula>EXACT(H14, "L")</formula>
    </cfRule>
    <cfRule type="expression" dxfId="196" priority="18">
      <formula>EXACT(H14, "D")</formula>
    </cfRule>
    <cfRule type="expression" dxfId="195" priority="19">
      <formula>EXACT(H14, "A")</formula>
    </cfRule>
  </conditionalFormatting>
  <conditionalFormatting sqref="H15:W15">
    <cfRule type="containsBlanks" dxfId="194" priority="20">
      <formula>LEN(TRIM(H15))=0</formula>
    </cfRule>
  </conditionalFormatting>
  <conditionalFormatting sqref="H15:W46">
    <cfRule type="containsText" dxfId="193" priority="6" operator="containsText" text="12">
      <formula>NOT(ISERROR(SEARCH("12",H15)))</formula>
    </cfRule>
    <cfRule type="expression" dxfId="192" priority="7">
      <formula>H$14="LH"</formula>
    </cfRule>
    <cfRule type="expression" dxfId="191" priority="8" stopIfTrue="1">
      <formula>H$14="SH"</formula>
    </cfRule>
    <cfRule type="expression" dxfId="190" priority="21">
      <formula>EXACT(H15, "S")</formula>
    </cfRule>
    <cfRule type="expression" dxfId="189" priority="22">
      <formula>EXACT(H15, "R")</formula>
    </cfRule>
    <cfRule type="expression" dxfId="188" priority="23">
      <formula>EXACT(H15, "T")</formula>
    </cfRule>
    <cfRule type="containsText" dxfId="187" priority="24" operator="containsText" text="SH">
      <formula>NOT(ISERROR(SEARCH("SH",H15)))</formula>
    </cfRule>
    <cfRule type="expression" dxfId="186" priority="25">
      <formula>EXACT(H15, "RS")</formula>
    </cfRule>
    <cfRule type="containsText" dxfId="185" priority="26" operator="containsText" text="RH">
      <formula>NOT(ISERROR(SEARCH("RH",H15)))</formula>
    </cfRule>
    <cfRule type="expression" dxfId="184" priority="27">
      <formula>EXACT(H15, "LR")</formula>
    </cfRule>
    <cfRule type="expression" dxfId="183" priority="28">
      <formula>EXACT(H15, "L")</formula>
    </cfRule>
    <cfRule type="expression" dxfId="182" priority="29">
      <formula>EXACT(H15, "D")</formula>
    </cfRule>
    <cfRule type="expression" dxfId="181" priority="30">
      <formula>EXACT(H15, "A")</formula>
    </cfRule>
  </conditionalFormatting>
  <conditionalFormatting sqref="H15:AE18 D19:AE19 H20:AE23 C24:AE46">
    <cfRule type="containsBlanks" dxfId="180" priority="33">
      <formula>LEN(TRIM(C15))=0</formula>
    </cfRule>
  </conditionalFormatting>
  <dataValidations count="1">
    <dataValidation type="list" allowBlank="1" showInputMessage="1" showErrorMessage="1" sqref="H14:W14" xr:uid="{BCDC55F3-E691-43CF-AF2D-C5B20D6E88D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A85A-DCB7-4451-80DC-CD93A9997633}">
  <sheetPr>
    <pageSetUpPr fitToPage="1"/>
  </sheetPr>
  <dimension ref="B1:AE62"/>
  <sheetViews>
    <sheetView topLeftCell="A8" zoomScale="70" zoomScaleNormal="70" workbookViewId="0">
      <selection activeCell="D27" sqref="D27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4.57031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151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152</v>
      </c>
      <c r="D15" s="31" t="s">
        <v>219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 t="s">
        <v>27</v>
      </c>
      <c r="L15" s="34">
        <v>8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 t="s">
        <v>27</v>
      </c>
      <c r="S15" s="34">
        <v>8</v>
      </c>
      <c r="T15" s="34">
        <v>8</v>
      </c>
      <c r="U15" s="34">
        <v>8</v>
      </c>
      <c r="V15" s="34">
        <v>8</v>
      </c>
      <c r="W15" s="34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153</v>
      </c>
      <c r="D16" s="31" t="s">
        <v>213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 t="s">
        <v>27</v>
      </c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>
        <v>8</v>
      </c>
      <c r="S16" s="34" t="s">
        <v>27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>SUM(H16:W16)-AB16-AD16-Y16</f>
        <v>0</v>
      </c>
      <c r="AB16" s="34">
        <f>SUMIF($H$14:$W$14,"LH",$H16:$W16)</f>
        <v>0</v>
      </c>
      <c r="AC16" s="34"/>
      <c r="AD16" s="34">
        <f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154</v>
      </c>
      <c r="D17" s="31" t="s">
        <v>283</v>
      </c>
      <c r="E17" s="31" t="s">
        <v>29</v>
      </c>
      <c r="F17" s="31" t="s">
        <v>28</v>
      </c>
      <c r="G17" s="62" t="s">
        <v>56</v>
      </c>
      <c r="H17" s="33">
        <v>8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 t="s">
        <v>27</v>
      </c>
      <c r="O17" s="34">
        <v>8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 t="s">
        <v>27</v>
      </c>
      <c r="V17" s="34">
        <v>8</v>
      </c>
      <c r="W17" s="35"/>
      <c r="X17" s="36" cm="1">
        <f t="array" ref="X17">SUMPRODUCT(--ISNUMBER(H17:W17), --($H$14:$W$14&lt;&gt;"LH"), --($H$14:$W$14&lt;&gt;"SH"))</f>
        <v>13</v>
      </c>
      <c r="Y17" s="34">
        <f t="shared" si="3"/>
        <v>104</v>
      </c>
      <c r="Z17" s="34"/>
      <c r="AA17" s="34">
        <f>SUM(H17:W17)-AB17-AD17-Y17</f>
        <v>0</v>
      </c>
      <c r="AB17" s="34">
        <f>SUMIF($H$14:$W$14,"LH",$H17:$W17)</f>
        <v>0</v>
      </c>
      <c r="AC17" s="34"/>
      <c r="AD17" s="34">
        <f>SUMIF($H$14:$W$14,"SH",$H17:$W17)</f>
        <v>0</v>
      </c>
      <c r="AE17" s="88"/>
    </row>
    <row r="18" spans="2:31" ht="24.95" customHeight="1" x14ac:dyDescent="0.25">
      <c r="B18" s="30">
        <f t="shared" si="2"/>
        <v>4</v>
      </c>
      <c r="C18" s="61" t="s">
        <v>155</v>
      </c>
      <c r="D18" s="31" t="s">
        <v>286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>
        <v>8</v>
      </c>
      <c r="K18" s="34">
        <v>8</v>
      </c>
      <c r="L18" s="34" t="s">
        <v>93</v>
      </c>
      <c r="M18" s="34" t="s">
        <v>93</v>
      </c>
      <c r="N18" s="34" t="s">
        <v>93</v>
      </c>
      <c r="O18" s="34" t="s">
        <v>27</v>
      </c>
      <c r="P18" s="34" t="s">
        <v>93</v>
      </c>
      <c r="Q18" s="34" t="s">
        <v>93</v>
      </c>
      <c r="R18" s="34" t="s">
        <v>93</v>
      </c>
      <c r="S18" s="34" t="s">
        <v>93</v>
      </c>
      <c r="T18" s="34">
        <v>8</v>
      </c>
      <c r="U18" s="34">
        <v>8</v>
      </c>
      <c r="V18" s="34" t="s">
        <v>27</v>
      </c>
      <c r="W18" s="35"/>
      <c r="X18" s="36" cm="1">
        <f t="array" ref="X18">SUMPRODUCT(--ISNUMBER(H18:W18), --($H$14:$W$14&lt;&gt;"LH"), --($H$14:$W$14&lt;&gt;"SH"))</f>
        <v>6</v>
      </c>
      <c r="Y18" s="34">
        <f t="shared" si="3"/>
        <v>48</v>
      </c>
      <c r="Z18" s="34"/>
      <c r="AA18" s="34">
        <f t="shared" ref="AA18:AA46" si="4">SUM(H18:W18)-AB18-AD18-Y18</f>
        <v>0</v>
      </c>
      <c r="AB18" s="34">
        <f t="shared" ref="AB18:AB46" si="5">SUMIF($H$14:$W$14,"LH",$H18:$W18)</f>
        <v>0</v>
      </c>
      <c r="AC18" s="34"/>
      <c r="AD18" s="34">
        <f t="shared" ref="AD18:AD46" si="6">SUMIF($H$14:$W$14,"SH",$H18:$W18)</f>
        <v>0</v>
      </c>
      <c r="AE18" s="88">
        <v>6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144</v>
      </c>
      <c r="D20" s="31" t="s">
        <v>211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>
        <v>8</v>
      </c>
      <c r="L20" s="34"/>
      <c r="M20" s="34"/>
      <c r="N20" s="34"/>
      <c r="O20" s="34"/>
      <c r="P20" s="34"/>
      <c r="Q20" s="34"/>
      <c r="R20" s="34">
        <v>8</v>
      </c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144</v>
      </c>
      <c r="D21" s="31" t="s">
        <v>211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30" customHeight="1" x14ac:dyDescent="0.25">
      <c r="B22" s="30">
        <f t="shared" si="2"/>
        <v>8</v>
      </c>
      <c r="C22" s="61" t="s">
        <v>156</v>
      </c>
      <c r="D22" s="31" t="s">
        <v>268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>
        <v>8</v>
      </c>
      <c r="O22" s="34"/>
      <c r="P22" s="34"/>
      <c r="Q22" s="34"/>
      <c r="R22" s="34"/>
      <c r="S22" s="34"/>
      <c r="T22" s="34"/>
      <c r="U22" s="34">
        <v>8</v>
      </c>
      <c r="V22" s="34"/>
      <c r="W22" s="35"/>
      <c r="X22" s="36" cm="1">
        <f t="array" ref="X22">SUMPRODUCT(--ISNUMBER(H22:W22), --($H$14:$W$14&lt;&gt;"LH"), --($H$14:$W$14&lt;&gt;"SH"))</f>
        <v>2</v>
      </c>
      <c r="Y22" s="34">
        <f t="shared" si="3"/>
        <v>16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31.5" customHeight="1" x14ac:dyDescent="0.25">
      <c r="B23" s="30">
        <f t="shared" si="2"/>
        <v>9</v>
      </c>
      <c r="C23" s="61" t="s">
        <v>156</v>
      </c>
      <c r="D23" s="31" t="s">
        <v>268</v>
      </c>
      <c r="E23" s="31" t="s">
        <v>29</v>
      </c>
      <c r="F23" s="31" t="s">
        <v>28</v>
      </c>
      <c r="G23" s="63" t="s">
        <v>57</v>
      </c>
      <c r="H23" s="33"/>
      <c r="I23" s="34"/>
      <c r="J23" s="34"/>
      <c r="K23" s="34"/>
      <c r="L23" s="34"/>
      <c r="M23" s="34"/>
      <c r="N23" s="34"/>
      <c r="O23" s="34">
        <v>8</v>
      </c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>
        <v>2</v>
      </c>
    </row>
    <row r="24" spans="2:31" ht="32.25" customHeight="1" x14ac:dyDescent="0.25">
      <c r="B24" s="30">
        <f t="shared" si="2"/>
        <v>10</v>
      </c>
      <c r="C24" s="61" t="s">
        <v>153</v>
      </c>
      <c r="D24" s="31" t="s">
        <v>213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1</v>
      </c>
      <c r="Y24" s="34">
        <f t="shared" si="3"/>
        <v>8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1</v>
      </c>
    </row>
    <row r="25" spans="2:31" ht="32.25" customHeight="1" x14ac:dyDescent="0.25">
      <c r="B25" s="30">
        <f t="shared" si="2"/>
        <v>11</v>
      </c>
      <c r="C25" s="61" t="s">
        <v>299</v>
      </c>
      <c r="D25" s="31" t="s">
        <v>297</v>
      </c>
      <c r="E25" s="31" t="s">
        <v>29</v>
      </c>
      <c r="F25" s="31" t="s">
        <v>28</v>
      </c>
      <c r="G25" s="63" t="s">
        <v>57</v>
      </c>
      <c r="H25" s="33"/>
      <c r="I25" s="34"/>
      <c r="J25" s="34"/>
      <c r="K25" s="34"/>
      <c r="L25" s="34">
        <v>8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1</v>
      </c>
      <c r="Y25" s="34">
        <f t="shared" si="3"/>
        <v>8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1</v>
      </c>
    </row>
    <row r="26" spans="2:31" ht="30.75" customHeight="1" x14ac:dyDescent="0.25">
      <c r="B26" s="30">
        <f t="shared" si="2"/>
        <v>12</v>
      </c>
      <c r="C26" s="61" t="s">
        <v>117</v>
      </c>
      <c r="D26" s="31" t="s">
        <v>287</v>
      </c>
      <c r="E26" s="31" t="s">
        <v>29</v>
      </c>
      <c r="F26" s="31" t="s">
        <v>28</v>
      </c>
      <c r="G26" s="63" t="s">
        <v>57</v>
      </c>
      <c r="H26" s="33"/>
      <c r="I26" s="34"/>
      <c r="J26" s="34"/>
      <c r="K26" s="34"/>
      <c r="L26" s="34"/>
      <c r="M26" s="34"/>
      <c r="N26" s="34">
        <v>8</v>
      </c>
      <c r="O26" s="34"/>
      <c r="P26" s="34"/>
      <c r="Q26" s="34">
        <v>8</v>
      </c>
      <c r="R26" s="34"/>
      <c r="S26" s="34">
        <v>8</v>
      </c>
      <c r="T26" s="34"/>
      <c r="U26" s="34"/>
      <c r="V26" s="34"/>
      <c r="W26" s="35"/>
      <c r="X26" s="36" cm="1">
        <f t="array" ref="X26">SUMPRODUCT(--ISNUMBER(H26:W26), --($H$14:$W$14&lt;&gt;"LH"), --($H$14:$W$14&lt;&gt;"SH"))</f>
        <v>3</v>
      </c>
      <c r="Y26" s="34">
        <f t="shared" si="3"/>
        <v>24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>
        <v>3</v>
      </c>
    </row>
    <row r="27" spans="2:31" ht="33" customHeight="1" x14ac:dyDescent="0.25">
      <c r="B27" s="30">
        <f t="shared" si="2"/>
        <v>13</v>
      </c>
      <c r="C27" s="61" t="s">
        <v>116</v>
      </c>
      <c r="D27" s="31" t="s">
        <v>258</v>
      </c>
      <c r="E27" s="31" t="s">
        <v>29</v>
      </c>
      <c r="F27" s="31" t="s">
        <v>28</v>
      </c>
      <c r="G27" s="63" t="s">
        <v>57</v>
      </c>
      <c r="H27" s="33"/>
      <c r="I27" s="34"/>
      <c r="J27" s="34"/>
      <c r="K27" s="34"/>
      <c r="L27" s="34"/>
      <c r="M27" s="34"/>
      <c r="N27" s="34"/>
      <c r="O27" s="34"/>
      <c r="P27" s="34">
        <v>8</v>
      </c>
      <c r="Q27" s="34"/>
      <c r="R27" s="34">
        <v>8</v>
      </c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2</v>
      </c>
      <c r="Y27" s="34">
        <f t="shared" si="3"/>
        <v>16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88">
        <v>2</v>
      </c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7">
    <cfRule type="cellIs" dxfId="179" priority="5" stopIfTrue="1" operator="equal">
      <formula>0</formula>
    </cfRule>
  </conditionalFormatting>
  <conditionalFormatting sqref="D15:G18">
    <cfRule type="containsBlanks" dxfId="178" priority="6">
      <formula>LEN(TRIM(D15))=0</formula>
    </cfRule>
  </conditionalFormatting>
  <conditionalFormatting sqref="D20:G27">
    <cfRule type="containsBlanks" dxfId="177" priority="1">
      <formula>LEN(TRIM(D20))=0</formula>
    </cfRule>
  </conditionalFormatting>
  <conditionalFormatting sqref="H12:W12">
    <cfRule type="expression" priority="33">
      <formula>TEXT($D$9+COLUMN()-COLUMN($H$12),"ddd")="Sun"</formula>
    </cfRule>
    <cfRule type="expression" dxfId="176" priority="34">
      <formula>TEXT($D$9+COLUMN()-COLUMN($H$12),"ddd")="Sun"</formula>
    </cfRule>
  </conditionalFormatting>
  <conditionalFormatting sqref="H14:W14">
    <cfRule type="containsBlanks" dxfId="175" priority="11">
      <formula>LEN(TRIM(H14))=0</formula>
    </cfRule>
    <cfRule type="expression" dxfId="174" priority="12">
      <formula>EXACT(H14, "S")</formula>
    </cfRule>
    <cfRule type="expression" dxfId="173" priority="13">
      <formula>EXACT(H14, "R")</formula>
    </cfRule>
    <cfRule type="expression" dxfId="172" priority="14">
      <formula>EXACT(H14, "T")</formula>
    </cfRule>
    <cfRule type="containsText" dxfId="171" priority="15" operator="containsText" text="SH">
      <formula>NOT(ISERROR(SEARCH("SH",H14)))</formula>
    </cfRule>
    <cfRule type="expression" dxfId="170" priority="16">
      <formula>EXACT(H14, "RS")</formula>
    </cfRule>
    <cfRule type="containsText" dxfId="169" priority="17" operator="containsText" text="LH">
      <formula>NOT(ISERROR(SEARCH("LH",H14)))</formula>
    </cfRule>
    <cfRule type="expression" dxfId="168" priority="18">
      <formula>EXACT(H14, "LR")</formula>
    </cfRule>
    <cfRule type="expression" dxfId="167" priority="19">
      <formula>EXACT(H14, "L")</formula>
    </cfRule>
    <cfRule type="expression" dxfId="166" priority="20">
      <formula>EXACT(H14, "D")</formula>
    </cfRule>
    <cfRule type="expression" dxfId="165" priority="21">
      <formula>EXACT(H14, "A")</formula>
    </cfRule>
  </conditionalFormatting>
  <conditionalFormatting sqref="H15:W15 J16:J17 H16:I18">
    <cfRule type="containsBlanks" dxfId="164" priority="22">
      <formula>LEN(TRIM(H15))=0</formula>
    </cfRule>
  </conditionalFormatting>
  <conditionalFormatting sqref="H15:W46">
    <cfRule type="containsText" dxfId="163" priority="8" operator="containsText" text="12">
      <formula>NOT(ISERROR(SEARCH("12",H15)))</formula>
    </cfRule>
    <cfRule type="expression" dxfId="162" priority="9">
      <formula>H$14="LH"</formula>
    </cfRule>
    <cfRule type="expression" dxfId="161" priority="10" stopIfTrue="1">
      <formula>H$14="SH"</formula>
    </cfRule>
    <cfRule type="expression" dxfId="160" priority="23">
      <formula>EXACT(H15, "S")</formula>
    </cfRule>
    <cfRule type="expression" dxfId="159" priority="24">
      <formula>EXACT(H15, "R")</formula>
    </cfRule>
    <cfRule type="expression" dxfId="158" priority="25">
      <formula>EXACT(H15, "T")</formula>
    </cfRule>
    <cfRule type="containsText" dxfId="157" priority="26" operator="containsText" text="SH">
      <formula>NOT(ISERROR(SEARCH("SH",H15)))</formula>
    </cfRule>
    <cfRule type="expression" dxfId="156" priority="27">
      <formula>EXACT(H15, "RS")</formula>
    </cfRule>
    <cfRule type="containsText" dxfId="155" priority="28" operator="containsText" text="RH">
      <formula>NOT(ISERROR(SEARCH("RH",H15)))</formula>
    </cfRule>
    <cfRule type="expression" dxfId="154" priority="29">
      <formula>EXACT(H15, "LR")</formula>
    </cfRule>
    <cfRule type="expression" dxfId="153" priority="30">
      <formula>EXACT(H15, "L")</formula>
    </cfRule>
    <cfRule type="expression" dxfId="152" priority="31">
      <formula>EXACT(H15, "D")</formula>
    </cfRule>
    <cfRule type="expression" dxfId="151" priority="32">
      <formula>EXACT(H15, "A")</formula>
    </cfRule>
  </conditionalFormatting>
  <conditionalFormatting sqref="H15:AE18 D19:AE19 H20:AE27 C28:AE46">
    <cfRule type="containsBlanks" dxfId="150" priority="35">
      <formula>LEN(TRIM(C15))=0</formula>
    </cfRule>
  </conditionalFormatting>
  <dataValidations count="1">
    <dataValidation type="list" allowBlank="1" showInputMessage="1" showErrorMessage="1" sqref="H14:W14" xr:uid="{B64D35F2-89A9-49DC-AD6D-99423C8878A4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3B7-62E0-40FC-BBC6-ACDAAF780377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5.71093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157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158</v>
      </c>
      <c r="D15" s="31" t="s">
        <v>267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>
        <v>8</v>
      </c>
      <c r="M15" s="34">
        <v>8</v>
      </c>
      <c r="N15" s="34" t="s">
        <v>27</v>
      </c>
      <c r="O15" s="34">
        <v>8</v>
      </c>
      <c r="P15" s="34">
        <v>8</v>
      </c>
      <c r="Q15" s="34">
        <v>8</v>
      </c>
      <c r="R15" s="34">
        <v>8</v>
      </c>
      <c r="S15" s="34">
        <v>8</v>
      </c>
      <c r="T15" s="34">
        <v>8</v>
      </c>
      <c r="U15" s="34" t="s">
        <v>27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159</v>
      </c>
      <c r="D16" s="31" t="s">
        <v>214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>
        <v>8</v>
      </c>
      <c r="O16" s="34" t="s">
        <v>27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>
        <v>8</v>
      </c>
      <c r="V16" s="34" t="s">
        <v>27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30.75" customHeight="1" x14ac:dyDescent="0.25">
      <c r="B17" s="30">
        <f t="shared" si="2"/>
        <v>3</v>
      </c>
      <c r="C17" s="61" t="s">
        <v>160</v>
      </c>
      <c r="D17" s="31" t="s">
        <v>215</v>
      </c>
      <c r="E17" s="31" t="s">
        <v>29</v>
      </c>
      <c r="F17" s="31" t="s">
        <v>28</v>
      </c>
      <c r="G17" s="62" t="s">
        <v>56</v>
      </c>
      <c r="H17" s="33">
        <v>8</v>
      </c>
      <c r="I17" s="34" t="s">
        <v>27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>
        <v>8</v>
      </c>
      <c r="P17" s="34" t="s">
        <v>27</v>
      </c>
      <c r="Q17" s="34">
        <v>8</v>
      </c>
      <c r="R17" s="34">
        <v>8</v>
      </c>
      <c r="S17" s="34">
        <v>8</v>
      </c>
      <c r="T17" s="34" t="s">
        <v>93</v>
      </c>
      <c r="U17" s="34">
        <v>8</v>
      </c>
      <c r="V17" s="34">
        <v>8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161</v>
      </c>
      <c r="D18" s="31" t="s">
        <v>285</v>
      </c>
      <c r="E18" s="31" t="s">
        <v>29</v>
      </c>
      <c r="F18" s="31" t="s">
        <v>28</v>
      </c>
      <c r="G18" s="63" t="s">
        <v>57</v>
      </c>
      <c r="H18" s="33">
        <v>8</v>
      </c>
      <c r="I18" s="34">
        <v>8</v>
      </c>
      <c r="J18" s="34" t="s">
        <v>27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>
        <v>8</v>
      </c>
      <c r="Q18" s="34" t="s">
        <v>27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24.95" customHeight="1" x14ac:dyDescent="0.25">
      <c r="B19" s="30">
        <f t="shared" si="2"/>
        <v>5</v>
      </c>
      <c r="C19" s="65" t="s">
        <v>92</v>
      </c>
      <c r="D19" s="31"/>
      <c r="E19" s="31"/>
      <c r="F19" s="31"/>
      <c r="G19" s="32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6" cm="1">
        <f t="array" ref="X19">SUMPRODUCT(--ISNUMBER(H19:W19), --($H$14:$W$14&lt;&gt;"LH"), --($H$14:$W$14&lt;&gt;"SH"))</f>
        <v>0</v>
      </c>
      <c r="Y19" s="34">
        <f t="shared" si="3"/>
        <v>0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1" t="s">
        <v>162</v>
      </c>
      <c r="D20" s="31" t="s">
        <v>216</v>
      </c>
      <c r="E20" s="31" t="s">
        <v>29</v>
      </c>
      <c r="F20" s="31" t="s">
        <v>26</v>
      </c>
      <c r="G20" s="62" t="s">
        <v>54</v>
      </c>
      <c r="H20" s="33"/>
      <c r="I20" s="34"/>
      <c r="J20" s="34"/>
      <c r="K20" s="34"/>
      <c r="L20" s="34"/>
      <c r="M20" s="34"/>
      <c r="N20" s="34">
        <v>8</v>
      </c>
      <c r="O20" s="34"/>
      <c r="P20" s="34"/>
      <c r="Q20" s="34"/>
      <c r="R20" s="34"/>
      <c r="S20" s="34"/>
      <c r="T20" s="34"/>
      <c r="U20" s="34">
        <v>8</v>
      </c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>
        <v>4</v>
      </c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55</v>
      </c>
      <c r="H21" s="33"/>
      <c r="I21" s="34"/>
      <c r="J21" s="34"/>
      <c r="K21" s="34"/>
      <c r="L21" s="34"/>
      <c r="M21" s="34"/>
      <c r="N21" s="34"/>
      <c r="O21" s="34">
        <v>8</v>
      </c>
      <c r="P21" s="34"/>
      <c r="Q21" s="34"/>
      <c r="R21" s="34"/>
      <c r="S21" s="34"/>
      <c r="T21" s="34"/>
      <c r="U21" s="34"/>
      <c r="V21" s="34">
        <v>8</v>
      </c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2</v>
      </c>
    </row>
    <row r="22" spans="2:31" ht="24.95" customHeight="1" x14ac:dyDescent="0.25">
      <c r="B22" s="30">
        <f t="shared" si="2"/>
        <v>8</v>
      </c>
      <c r="C22" s="61" t="s">
        <v>116</v>
      </c>
      <c r="D22" s="31" t="s">
        <v>258</v>
      </c>
      <c r="E22" s="31" t="s">
        <v>29</v>
      </c>
      <c r="F22" s="31" t="s">
        <v>28</v>
      </c>
      <c r="G22" s="62" t="s">
        <v>56</v>
      </c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>
        <v>8</v>
      </c>
      <c r="U22" s="34"/>
      <c r="V22" s="34"/>
      <c r="W22" s="35"/>
      <c r="X22" s="36" cm="1">
        <f t="array" ref="X22">SUMPRODUCT(--ISNUMBER(H22:W22), --($H$14:$W$14&lt;&gt;"LH"), --($H$14:$W$14&lt;&gt;"SH"))</f>
        <v>1</v>
      </c>
      <c r="Y22" s="34">
        <f t="shared" si="3"/>
        <v>8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/>
    </row>
    <row r="23" spans="2:31" ht="24.95" customHeight="1" x14ac:dyDescent="0.25">
      <c r="B23" s="30">
        <f t="shared" si="2"/>
        <v>9</v>
      </c>
      <c r="C23" s="61" t="s">
        <v>156</v>
      </c>
      <c r="D23" s="31" t="s">
        <v>268</v>
      </c>
      <c r="E23" s="31" t="s">
        <v>29</v>
      </c>
      <c r="F23" s="31" t="s">
        <v>28</v>
      </c>
      <c r="G23" s="62" t="s">
        <v>56</v>
      </c>
      <c r="H23" s="33"/>
      <c r="I23" s="34">
        <v>8</v>
      </c>
      <c r="J23" s="34"/>
      <c r="K23" s="34"/>
      <c r="L23" s="34"/>
      <c r="M23" s="34"/>
      <c r="N23" s="34"/>
      <c r="O23" s="34"/>
      <c r="P23" s="34">
        <v>8</v>
      </c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4.95" customHeight="1" x14ac:dyDescent="0.25">
      <c r="B24" s="30">
        <f t="shared" si="2"/>
        <v>10</v>
      </c>
      <c r="C24" s="61" t="s">
        <v>156</v>
      </c>
      <c r="D24" s="31" t="s">
        <v>268</v>
      </c>
      <c r="E24" s="31" t="s">
        <v>29</v>
      </c>
      <c r="F24" s="31" t="s">
        <v>28</v>
      </c>
      <c r="G24" s="63" t="s">
        <v>57</v>
      </c>
      <c r="H24" s="33"/>
      <c r="I24" s="34"/>
      <c r="J24" s="34">
        <v>8</v>
      </c>
      <c r="K24" s="34"/>
      <c r="L24" s="34"/>
      <c r="M24" s="34"/>
      <c r="N24" s="34"/>
      <c r="O24" s="34"/>
      <c r="P24" s="34"/>
      <c r="Q24" s="34">
        <v>8</v>
      </c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60</v>
      </c>
      <c r="H47" s="38">
        <f t="shared" ref="H47:W47" si="7">COUNTA(H15:H46)-COUNTIF(H15:H46,"A")-COUNTIF(H15:H46,"D")-COUNTIF(H15:H46,"L")</f>
        <v>4</v>
      </c>
      <c r="I47" s="39">
        <f t="shared" si="7"/>
        <v>4</v>
      </c>
      <c r="J47" s="39">
        <f t="shared" si="7"/>
        <v>4</v>
      </c>
      <c r="K47" s="39">
        <f t="shared" si="7"/>
        <v>4</v>
      </c>
      <c r="L47" s="39">
        <f t="shared" si="7"/>
        <v>4</v>
      </c>
      <c r="M47" s="39">
        <f t="shared" si="7"/>
        <v>4</v>
      </c>
      <c r="N47" s="39">
        <f t="shared" si="7"/>
        <v>4</v>
      </c>
      <c r="O47" s="39">
        <f t="shared" si="7"/>
        <v>4</v>
      </c>
      <c r="P47" s="39">
        <f t="shared" si="7"/>
        <v>4</v>
      </c>
      <c r="Q47" s="39">
        <f t="shared" si="7"/>
        <v>4</v>
      </c>
      <c r="R47" s="39">
        <f t="shared" si="7"/>
        <v>4</v>
      </c>
      <c r="S47" s="39">
        <f t="shared" si="7"/>
        <v>4</v>
      </c>
      <c r="T47" s="39">
        <f t="shared" si="7"/>
        <v>4</v>
      </c>
      <c r="U47" s="39">
        <f t="shared" si="7"/>
        <v>4</v>
      </c>
      <c r="V47" s="39">
        <f t="shared" si="7"/>
        <v>4</v>
      </c>
      <c r="W47" s="40">
        <f t="shared" si="7"/>
        <v>0</v>
      </c>
      <c r="X47" s="41">
        <f t="shared" ref="X47:AE47" si="8">SUM(X15:X46)</f>
        <v>60</v>
      </c>
      <c r="Y47" s="42">
        <f t="shared" si="8"/>
        <v>480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customHeight="1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49" priority="6" stopIfTrue="1" operator="equal">
      <formula>0</formula>
    </cfRule>
  </conditionalFormatting>
  <conditionalFormatting sqref="D15:G18">
    <cfRule type="containsBlanks" dxfId="148" priority="7">
      <formula>LEN(TRIM(D15))=0</formula>
    </cfRule>
  </conditionalFormatting>
  <conditionalFormatting sqref="D20:G24">
    <cfRule type="containsBlanks" dxfId="147" priority="1">
      <formula>LEN(TRIM(D20))=0</formula>
    </cfRule>
  </conditionalFormatting>
  <conditionalFormatting sqref="H12:W12">
    <cfRule type="expression" priority="34">
      <formula>TEXT($D$9+COLUMN()-COLUMN($H$12),"ddd")="Sun"</formula>
    </cfRule>
    <cfRule type="expression" dxfId="146" priority="35">
      <formula>TEXT($D$9+COLUMN()-COLUMN($H$12),"ddd")="Sun"</formula>
    </cfRule>
  </conditionalFormatting>
  <conditionalFormatting sqref="H14:W14">
    <cfRule type="containsBlanks" dxfId="145" priority="12">
      <formula>LEN(TRIM(H14))=0</formula>
    </cfRule>
    <cfRule type="expression" dxfId="144" priority="13">
      <formula>EXACT(H14, "S")</formula>
    </cfRule>
    <cfRule type="expression" dxfId="143" priority="14">
      <formula>EXACT(H14, "R")</formula>
    </cfRule>
    <cfRule type="expression" dxfId="142" priority="15">
      <formula>EXACT(H14, "T")</formula>
    </cfRule>
    <cfRule type="containsText" dxfId="141" priority="16" operator="containsText" text="SH">
      <formula>NOT(ISERROR(SEARCH("SH",H14)))</formula>
    </cfRule>
    <cfRule type="expression" dxfId="140" priority="17">
      <formula>EXACT(H14, "RS")</formula>
    </cfRule>
    <cfRule type="containsText" dxfId="139" priority="18" operator="containsText" text="LH">
      <formula>NOT(ISERROR(SEARCH("LH",H14)))</formula>
    </cfRule>
    <cfRule type="expression" dxfId="138" priority="19">
      <formula>EXACT(H14, "LR")</formula>
    </cfRule>
    <cfRule type="expression" dxfId="137" priority="20">
      <formula>EXACT(H14, "L")</formula>
    </cfRule>
    <cfRule type="expression" dxfId="136" priority="21">
      <formula>EXACT(H14, "D")</formula>
    </cfRule>
    <cfRule type="expression" dxfId="135" priority="22">
      <formula>EXACT(H14, "A")</formula>
    </cfRule>
  </conditionalFormatting>
  <conditionalFormatting sqref="H15:W15">
    <cfRule type="containsBlanks" dxfId="134" priority="23">
      <formula>LEN(TRIM(H15))=0</formula>
    </cfRule>
  </conditionalFormatting>
  <conditionalFormatting sqref="H15:W46">
    <cfRule type="containsText" dxfId="133" priority="9" operator="containsText" text="12">
      <formula>NOT(ISERROR(SEARCH("12",H15)))</formula>
    </cfRule>
    <cfRule type="expression" dxfId="132" priority="10">
      <formula>H$14="LH"</formula>
    </cfRule>
    <cfRule type="expression" dxfId="131" priority="11" stopIfTrue="1">
      <formula>H$14="SH"</formula>
    </cfRule>
    <cfRule type="expression" dxfId="130" priority="24">
      <formula>EXACT(H15, "S")</formula>
    </cfRule>
    <cfRule type="expression" dxfId="129" priority="25">
      <formula>EXACT(H15, "R")</formula>
    </cfRule>
    <cfRule type="expression" dxfId="128" priority="26">
      <formula>EXACT(H15, "T")</formula>
    </cfRule>
    <cfRule type="containsText" dxfId="127" priority="27" operator="containsText" text="SH">
      <formula>NOT(ISERROR(SEARCH("SH",H15)))</formula>
    </cfRule>
    <cfRule type="expression" dxfId="126" priority="28">
      <formula>EXACT(H15, "RS")</formula>
    </cfRule>
    <cfRule type="containsText" dxfId="125" priority="29" operator="containsText" text="RH">
      <formula>NOT(ISERROR(SEARCH("RH",H15)))</formula>
    </cfRule>
    <cfRule type="expression" dxfId="124" priority="30">
      <formula>EXACT(H15, "LR")</formula>
    </cfRule>
    <cfRule type="expression" dxfId="123" priority="31">
      <formula>EXACT(H15, "L")</formula>
    </cfRule>
    <cfRule type="expression" dxfId="122" priority="32">
      <formula>EXACT(H15, "D")</formula>
    </cfRule>
    <cfRule type="expression" dxfId="121" priority="33">
      <formula>EXACT(H15, "A")</formula>
    </cfRule>
  </conditionalFormatting>
  <conditionalFormatting sqref="H15:AE18 D19:AE19 H20:AE24 C25:AE46">
    <cfRule type="containsBlanks" dxfId="120" priority="36">
      <formula>LEN(TRIM(C15))=0</formula>
    </cfRule>
  </conditionalFormatting>
  <dataValidations count="1">
    <dataValidation type="list" allowBlank="1" showInputMessage="1" showErrorMessage="1" sqref="H14:W14" xr:uid="{C729E793-1E5A-4A51-B2E0-800949128D3F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EF65-BC00-4956-B529-423D2251AA21}">
  <sheetPr>
    <pageSetUpPr fitToPage="1"/>
  </sheetPr>
  <dimension ref="B1:AE62"/>
  <sheetViews>
    <sheetView topLeftCell="A6" zoomScale="70" zoomScaleNormal="70" workbookViewId="0">
      <selection activeCell="AE48" sqref="AE48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169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170</v>
      </c>
      <c r="D15" s="31" t="s">
        <v>282</v>
      </c>
      <c r="E15" s="31" t="s">
        <v>29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>
        <v>8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171</v>
      </c>
      <c r="D16" s="31" t="s">
        <v>271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>
        <v>8</v>
      </c>
      <c r="K16" s="34">
        <v>8</v>
      </c>
      <c r="L16" s="34">
        <v>8</v>
      </c>
      <c r="M16" s="34">
        <v>8</v>
      </c>
      <c r="N16" s="34" t="s">
        <v>27</v>
      </c>
      <c r="O16" s="34">
        <v>8</v>
      </c>
      <c r="P16" s="34">
        <v>8</v>
      </c>
      <c r="Q16" s="34">
        <v>8</v>
      </c>
      <c r="R16" s="34">
        <v>8</v>
      </c>
      <c r="S16" s="34">
        <v>8</v>
      </c>
      <c r="T16" s="34">
        <v>8</v>
      </c>
      <c r="U16" s="34" t="s">
        <v>27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172</v>
      </c>
      <c r="D17" s="31" t="s">
        <v>272</v>
      </c>
      <c r="E17" s="31" t="s">
        <v>29</v>
      </c>
      <c r="F17" s="31" t="s">
        <v>26</v>
      </c>
      <c r="G17" s="62" t="s">
        <v>55</v>
      </c>
      <c r="H17" s="33" t="s">
        <v>27</v>
      </c>
      <c r="I17" s="34">
        <v>8</v>
      </c>
      <c r="J17" s="34">
        <v>8</v>
      </c>
      <c r="K17" s="34">
        <v>8</v>
      </c>
      <c r="L17" s="34">
        <v>8</v>
      </c>
      <c r="M17" s="34">
        <v>8</v>
      </c>
      <c r="N17" s="34">
        <v>8</v>
      </c>
      <c r="O17" s="34" t="s">
        <v>27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 t="s">
        <v>27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.75" customHeight="1" x14ac:dyDescent="0.25">
      <c r="B18" s="30">
        <f t="shared" si="2"/>
        <v>4</v>
      </c>
      <c r="C18" s="61" t="s">
        <v>173</v>
      </c>
      <c r="D18" s="31" t="s">
        <v>273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>
        <v>8</v>
      </c>
      <c r="M18" s="34">
        <v>8</v>
      </c>
      <c r="N18" s="34" t="s">
        <v>27</v>
      </c>
      <c r="O18" s="34">
        <v>8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 t="s">
        <v>27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" customHeight="1" x14ac:dyDescent="0.25">
      <c r="B19" s="30">
        <f t="shared" si="2"/>
        <v>5</v>
      </c>
      <c r="C19" s="61" t="s">
        <v>174</v>
      </c>
      <c r="D19" s="31" t="s">
        <v>274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>
        <v>8</v>
      </c>
      <c r="N19" s="34">
        <v>8</v>
      </c>
      <c r="O19" s="34" t="s">
        <v>27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 t="s">
        <v>27</v>
      </c>
      <c r="W19" s="35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13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/>
      <c r="J21" s="34"/>
      <c r="K21" s="34"/>
      <c r="L21" s="34">
        <v>8</v>
      </c>
      <c r="M21" s="34"/>
      <c r="N21" s="34"/>
      <c r="O21" s="34"/>
      <c r="P21" s="34"/>
      <c r="Q21" s="34"/>
      <c r="R21" s="34"/>
      <c r="S21" s="34">
        <v>8</v>
      </c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175</v>
      </c>
      <c r="D22" s="31" t="s">
        <v>276</v>
      </c>
      <c r="E22" s="31" t="s">
        <v>29</v>
      </c>
      <c r="F22" s="31" t="s">
        <v>26</v>
      </c>
      <c r="G22" s="62" t="s">
        <v>55</v>
      </c>
      <c r="H22" s="33">
        <v>8</v>
      </c>
      <c r="I22" s="34"/>
      <c r="J22" s="34"/>
      <c r="K22" s="34"/>
      <c r="L22" s="34"/>
      <c r="M22" s="34"/>
      <c r="N22" s="34">
        <v>8</v>
      </c>
      <c r="O22" s="34">
        <v>8</v>
      </c>
      <c r="P22" s="34"/>
      <c r="Q22" s="34"/>
      <c r="R22" s="34"/>
      <c r="S22" s="34"/>
      <c r="T22" s="34"/>
      <c r="U22" s="34">
        <v>8</v>
      </c>
      <c r="V22" s="34">
        <v>8</v>
      </c>
      <c r="W22" s="35"/>
      <c r="X22" s="36" cm="1">
        <f t="array" ref="X22">SUMPRODUCT(--ISNUMBER(H22:W22), --($H$14:$W$14&lt;&gt;"LH"), --($H$14:$W$14&lt;&gt;"SH"))</f>
        <v>5</v>
      </c>
      <c r="Y22" s="34">
        <f t="shared" si="3"/>
        <v>40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5</v>
      </c>
    </row>
    <row r="23" spans="2:31" ht="29.25" customHeight="1" x14ac:dyDescent="0.25">
      <c r="B23" s="30">
        <f t="shared" si="2"/>
        <v>9</v>
      </c>
      <c r="C23" s="61" t="s">
        <v>176</v>
      </c>
      <c r="D23" s="31" t="s">
        <v>275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/>
      <c r="M23" s="34"/>
      <c r="N23" s="34">
        <v>8</v>
      </c>
      <c r="O23" s="34"/>
      <c r="P23" s="34"/>
      <c r="Q23" s="34"/>
      <c r="R23" s="34"/>
      <c r="S23" s="34"/>
      <c r="T23" s="34"/>
      <c r="U23" s="34">
        <v>8</v>
      </c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29.25" customHeight="1" x14ac:dyDescent="0.25">
      <c r="B24" s="30">
        <f t="shared" si="2"/>
        <v>10</v>
      </c>
      <c r="C24" s="61" t="s">
        <v>176</v>
      </c>
      <c r="D24" s="31" t="s">
        <v>275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/>
      <c r="N24" s="34"/>
      <c r="O24" s="34">
        <v>8</v>
      </c>
      <c r="P24" s="34"/>
      <c r="Q24" s="34"/>
      <c r="R24" s="34"/>
      <c r="S24" s="34"/>
      <c r="T24" s="34"/>
      <c r="U24" s="34"/>
      <c r="V24" s="34">
        <v>8</v>
      </c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63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89" priority="2" stopIfTrue="1" operator="equal">
      <formula>0</formula>
    </cfRule>
  </conditionalFormatting>
  <conditionalFormatting sqref="D15:G19">
    <cfRule type="containsBlanks" dxfId="88" priority="5">
      <formula>LEN(TRIM(D15))=0</formula>
    </cfRule>
  </conditionalFormatting>
  <conditionalFormatting sqref="D21:G24">
    <cfRule type="containsBlanks" dxfId="87" priority="1">
      <formula>LEN(TRIM(D21))=0</formula>
    </cfRule>
  </conditionalFormatting>
  <conditionalFormatting sqref="H12:W12">
    <cfRule type="expression" priority="32">
      <formula>TEXT($D$9+COLUMN()-COLUMN($H$12),"ddd")="Sun"</formula>
    </cfRule>
    <cfRule type="expression" dxfId="86" priority="33">
      <formula>TEXT($D$9+COLUMN()-COLUMN($H$12),"ddd")="Sun"</formula>
    </cfRule>
  </conditionalFormatting>
  <conditionalFormatting sqref="H14:W14">
    <cfRule type="containsBlanks" dxfId="85" priority="10">
      <formula>LEN(TRIM(H14))=0</formula>
    </cfRule>
    <cfRule type="expression" dxfId="84" priority="11">
      <formula>EXACT(H14, "S")</formula>
    </cfRule>
    <cfRule type="expression" dxfId="83" priority="12">
      <formula>EXACT(H14, "R")</formula>
    </cfRule>
    <cfRule type="expression" dxfId="82" priority="13">
      <formula>EXACT(H14, "T")</formula>
    </cfRule>
    <cfRule type="containsText" dxfId="81" priority="14" operator="containsText" text="SH">
      <formula>NOT(ISERROR(SEARCH("SH",H14)))</formula>
    </cfRule>
    <cfRule type="expression" dxfId="80" priority="15">
      <formula>EXACT(H14, "RS")</formula>
    </cfRule>
    <cfRule type="containsText" dxfId="79" priority="16" operator="containsText" text="LH">
      <formula>NOT(ISERROR(SEARCH("LH",H14)))</formula>
    </cfRule>
    <cfRule type="expression" dxfId="78" priority="17">
      <formula>EXACT(H14, "LR")</formula>
    </cfRule>
    <cfRule type="expression" dxfId="77" priority="18">
      <formula>EXACT(H14, "L")</formula>
    </cfRule>
    <cfRule type="expression" dxfId="76" priority="19">
      <formula>EXACT(H14, "D")</formula>
    </cfRule>
    <cfRule type="expression" dxfId="75" priority="20">
      <formula>EXACT(H14, "A")</formula>
    </cfRule>
  </conditionalFormatting>
  <conditionalFormatting sqref="H15:W15">
    <cfRule type="containsBlanks" dxfId="74" priority="21">
      <formula>LEN(TRIM(H15))=0</formula>
    </cfRule>
  </conditionalFormatting>
  <conditionalFormatting sqref="H15:W46">
    <cfRule type="containsText" dxfId="73" priority="7" operator="containsText" text="12">
      <formula>NOT(ISERROR(SEARCH("12",H15)))</formula>
    </cfRule>
    <cfRule type="expression" dxfId="72" priority="8">
      <formula>H$14="LH"</formula>
    </cfRule>
    <cfRule type="expression" dxfId="71" priority="9" stopIfTrue="1">
      <formula>H$14="SH"</formula>
    </cfRule>
    <cfRule type="expression" dxfId="70" priority="22">
      <formula>EXACT(H15, "S")</formula>
    </cfRule>
    <cfRule type="expression" dxfId="69" priority="23">
      <formula>EXACT(H15, "R")</formula>
    </cfRule>
    <cfRule type="expression" dxfId="68" priority="24">
      <formula>EXACT(H15, "T")</formula>
    </cfRule>
    <cfRule type="containsText" dxfId="67" priority="25" operator="containsText" text="SH">
      <formula>NOT(ISERROR(SEARCH("SH",H15)))</formula>
    </cfRule>
    <cfRule type="expression" dxfId="66" priority="26">
      <formula>EXACT(H15, "RS")</formula>
    </cfRule>
    <cfRule type="containsText" dxfId="65" priority="27" operator="containsText" text="RH">
      <formula>NOT(ISERROR(SEARCH("RH",H15)))</formula>
    </cfRule>
    <cfRule type="expression" dxfId="64" priority="28">
      <formula>EXACT(H15, "LR")</formula>
    </cfRule>
    <cfRule type="expression" dxfId="63" priority="29">
      <formula>EXACT(H15, "L")</formula>
    </cfRule>
    <cfRule type="expression" dxfId="62" priority="30">
      <formula>EXACT(H15, "D")</formula>
    </cfRule>
    <cfRule type="expression" dxfId="61" priority="31">
      <formula>EXACT(H15, "A")</formula>
    </cfRule>
  </conditionalFormatting>
  <conditionalFormatting sqref="H15:AE19 D20:AE20 H21:AE24 C25:AE46">
    <cfRule type="containsBlanks" dxfId="60" priority="34">
      <formula>LEN(TRIM(C15))=0</formula>
    </cfRule>
  </conditionalFormatting>
  <dataValidations count="1">
    <dataValidation type="list" allowBlank="1" showInputMessage="1" showErrorMessage="1" sqref="H14:W14" xr:uid="{13723BB0-D53B-403B-B7F9-1BAAED80D345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5E46-D6A1-40BB-A0A1-73A52526E804}">
  <sheetPr>
    <pageSetUpPr fitToPage="1"/>
  </sheetPr>
  <dimension ref="B1:AE62"/>
  <sheetViews>
    <sheetView topLeftCell="A9" zoomScale="80" zoomScaleNormal="80" workbookViewId="0">
      <selection activeCell="T21" sqref="T2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7109375" style="1" hidden="1" customWidth="1"/>
    <col min="23" max="23" width="0.14062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163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164</v>
      </c>
      <c r="D15" s="31" t="s">
        <v>237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/>
      <c r="W15" s="34">
        <v>8</v>
      </c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165</v>
      </c>
      <c r="D16" s="31" t="s">
        <v>270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/>
      <c r="W16" s="35"/>
      <c r="X16" s="36" cm="1">
        <f t="array" ref="X16">SUMPRODUCT(--ISNUMBER(H16:W16), --($H$14:$W$14&lt;&gt;"LH"), --($H$14:$W$14&lt;&gt;"SH"))</f>
        <v>12</v>
      </c>
      <c r="Y16" s="34">
        <f t="shared" ref="Y16:Y46" si="3">X16*8</f>
        <v>96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12</v>
      </c>
    </row>
    <row r="17" spans="2:31" ht="24.95" customHeight="1" x14ac:dyDescent="0.25">
      <c r="B17" s="30">
        <f t="shared" si="2"/>
        <v>3</v>
      </c>
      <c r="C17" s="61" t="s">
        <v>166</v>
      </c>
      <c r="D17" s="31" t="s">
        <v>222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/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3" customHeight="1" x14ac:dyDescent="0.25">
      <c r="B18" s="30">
        <f t="shared" si="2"/>
        <v>4</v>
      </c>
      <c r="C18" s="61" t="s">
        <v>167</v>
      </c>
      <c r="D18" s="31" t="s">
        <v>269</v>
      </c>
      <c r="E18" s="31" t="s">
        <v>29</v>
      </c>
      <c r="F18" s="31" t="s">
        <v>28</v>
      </c>
      <c r="G18" s="62" t="s">
        <v>56</v>
      </c>
      <c r="H18" s="33">
        <v>8</v>
      </c>
      <c r="I18" s="34">
        <v>8</v>
      </c>
      <c r="J18" s="34">
        <v>8</v>
      </c>
      <c r="K18" s="34">
        <v>8</v>
      </c>
      <c r="L18" s="34" t="s">
        <v>27</v>
      </c>
      <c r="M18" s="34">
        <v>8</v>
      </c>
      <c r="N18" s="34">
        <v>8</v>
      </c>
      <c r="O18" s="34">
        <v>8</v>
      </c>
      <c r="P18" s="34">
        <v>8</v>
      </c>
      <c r="Q18" s="34">
        <v>8</v>
      </c>
      <c r="R18" s="34">
        <v>8</v>
      </c>
      <c r="S18" s="34" t="s">
        <v>27</v>
      </c>
      <c r="T18" s="34">
        <v>8</v>
      </c>
      <c r="U18" s="34">
        <v>8</v>
      </c>
      <c r="V18" s="34"/>
      <c r="W18" s="34">
        <v>8</v>
      </c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/>
    </row>
    <row r="19" spans="2:31" ht="30.75" customHeight="1" x14ac:dyDescent="0.25">
      <c r="B19" s="30">
        <f t="shared" si="2"/>
        <v>5</v>
      </c>
      <c r="C19" s="61" t="s">
        <v>168</v>
      </c>
      <c r="D19" s="31" t="s">
        <v>217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>
        <v>8</v>
      </c>
      <c r="K19" s="34">
        <v>8</v>
      </c>
      <c r="L19" s="34">
        <v>8</v>
      </c>
      <c r="M19" s="34" t="s">
        <v>27</v>
      </c>
      <c r="N19" s="34">
        <v>8</v>
      </c>
      <c r="O19" s="34">
        <v>8</v>
      </c>
      <c r="P19" s="34">
        <v>8</v>
      </c>
      <c r="Q19" s="34">
        <v>8</v>
      </c>
      <c r="R19" s="34">
        <v>8</v>
      </c>
      <c r="S19" s="34">
        <v>8</v>
      </c>
      <c r="T19" s="34" t="s">
        <v>27</v>
      </c>
      <c r="U19" s="34">
        <v>8</v>
      </c>
      <c r="V19" s="34"/>
      <c r="W19" s="35"/>
      <c r="X19" s="36" cm="1">
        <f t="array" ref="X19">SUMPRODUCT(--ISNUMBER(H19:W19), --($H$14:$W$14&lt;&gt;"LH"), --($H$14:$W$14&lt;&gt;"SH"))</f>
        <v>12</v>
      </c>
      <c r="Y19" s="34">
        <f t="shared" si="3"/>
        <v>96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>
        <v>12</v>
      </c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162</v>
      </c>
      <c r="D21" s="31" t="s">
        <v>216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162</v>
      </c>
      <c r="D22" s="31" t="s">
        <v>216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33.75" customHeight="1" x14ac:dyDescent="0.25">
      <c r="B23" s="30">
        <f t="shared" si="2"/>
        <v>9</v>
      </c>
      <c r="C23" s="61" t="s">
        <v>156</v>
      </c>
      <c r="D23" s="31" t="s">
        <v>268</v>
      </c>
      <c r="E23" s="31" t="s">
        <v>29</v>
      </c>
      <c r="F23" s="31" t="s">
        <v>28</v>
      </c>
      <c r="G23" s="62" t="s">
        <v>56</v>
      </c>
      <c r="H23" s="33"/>
      <c r="I23" s="34"/>
      <c r="J23" s="34"/>
      <c r="K23" s="34"/>
      <c r="L23" s="34">
        <v>8</v>
      </c>
      <c r="M23" s="34"/>
      <c r="N23" s="34"/>
      <c r="O23" s="34"/>
      <c r="P23" s="34"/>
      <c r="Q23" s="34"/>
      <c r="R23" s="34"/>
      <c r="S23" s="34">
        <v>8</v>
      </c>
      <c r="T23" s="34"/>
      <c r="U23" s="34"/>
      <c r="V23" s="34"/>
      <c r="W23" s="35"/>
      <c r="X23" s="36" cm="1">
        <f t="array" ref="X23">SUMPRODUCT(--ISNUMBER(H23:W23), --($H$14:$W$14&lt;&gt;"LH"), --($H$14:$W$14&lt;&gt;"SH"))</f>
        <v>2</v>
      </c>
      <c r="Y23" s="34">
        <f t="shared" si="3"/>
        <v>16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0.75" customHeight="1" x14ac:dyDescent="0.25">
      <c r="B24" s="30">
        <f t="shared" si="2"/>
        <v>10</v>
      </c>
      <c r="C24" s="61" t="s">
        <v>156</v>
      </c>
      <c r="D24" s="31" t="s">
        <v>268</v>
      </c>
      <c r="E24" s="31" t="s">
        <v>29</v>
      </c>
      <c r="F24" s="31" t="s">
        <v>28</v>
      </c>
      <c r="G24" s="63" t="s">
        <v>57</v>
      </c>
      <c r="H24" s="33"/>
      <c r="I24" s="34"/>
      <c r="J24" s="34"/>
      <c r="K24" s="34"/>
      <c r="L24" s="34"/>
      <c r="M24" s="34">
        <v>8</v>
      </c>
      <c r="N24" s="34"/>
      <c r="O24" s="34"/>
      <c r="P24" s="34"/>
      <c r="Q24" s="34"/>
      <c r="R24" s="34"/>
      <c r="S24" s="34"/>
      <c r="T24" s="34">
        <v>8</v>
      </c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>
        <v>2</v>
      </c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72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0</v>
      </c>
      <c r="W47" s="40">
        <f t="shared" si="7"/>
        <v>2</v>
      </c>
      <c r="X47" s="41">
        <f t="shared" ref="X47:AE47" si="8">SUM(X15:X46)</f>
        <v>72</v>
      </c>
      <c r="Y47" s="42">
        <f t="shared" si="8"/>
        <v>576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4">
    <cfRule type="cellIs" dxfId="119" priority="3" stopIfTrue="1" operator="equal">
      <formula>0</formula>
    </cfRule>
  </conditionalFormatting>
  <conditionalFormatting sqref="D15:G19">
    <cfRule type="containsBlanks" dxfId="118" priority="6">
      <formula>LEN(TRIM(D15))=0</formula>
    </cfRule>
  </conditionalFormatting>
  <conditionalFormatting sqref="D21:G24">
    <cfRule type="containsBlanks" dxfId="117" priority="1">
      <formula>LEN(TRIM(D21))=0</formula>
    </cfRule>
  </conditionalFormatting>
  <conditionalFormatting sqref="H12:W12">
    <cfRule type="expression" priority="35">
      <formula>TEXT($D$9+COLUMN()-COLUMN($H$12),"ddd")="Sun"</formula>
    </cfRule>
    <cfRule type="expression" dxfId="116" priority="36">
      <formula>TEXT($D$9+COLUMN()-COLUMN($H$12),"ddd")="Sun"</formula>
    </cfRule>
  </conditionalFormatting>
  <conditionalFormatting sqref="H14:W14">
    <cfRule type="containsBlanks" dxfId="115" priority="13">
      <formula>LEN(TRIM(H14))=0</formula>
    </cfRule>
    <cfRule type="expression" dxfId="114" priority="14">
      <formula>EXACT(H14, "S")</formula>
    </cfRule>
    <cfRule type="expression" dxfId="113" priority="15">
      <formula>EXACT(H14, "R")</formula>
    </cfRule>
    <cfRule type="expression" dxfId="112" priority="16">
      <formula>EXACT(H14, "T")</formula>
    </cfRule>
    <cfRule type="containsText" dxfId="111" priority="17" operator="containsText" text="SH">
      <formula>NOT(ISERROR(SEARCH("SH",H14)))</formula>
    </cfRule>
    <cfRule type="expression" dxfId="110" priority="18">
      <formula>EXACT(H14, "RS")</formula>
    </cfRule>
    <cfRule type="containsText" dxfId="109" priority="19" operator="containsText" text="LH">
      <formula>NOT(ISERROR(SEARCH("LH",H14)))</formula>
    </cfRule>
    <cfRule type="expression" dxfId="108" priority="20">
      <formula>EXACT(H14, "LR")</formula>
    </cfRule>
    <cfRule type="expression" dxfId="107" priority="21">
      <formula>EXACT(H14, "L")</formula>
    </cfRule>
    <cfRule type="expression" dxfId="106" priority="22">
      <formula>EXACT(H14, "D")</formula>
    </cfRule>
    <cfRule type="expression" dxfId="105" priority="23">
      <formula>EXACT(H14, "A")</formula>
    </cfRule>
  </conditionalFormatting>
  <conditionalFormatting sqref="H15:W15 H16:H19">
    <cfRule type="containsBlanks" dxfId="104" priority="24">
      <formula>LEN(TRIM(H15))=0</formula>
    </cfRule>
  </conditionalFormatting>
  <conditionalFormatting sqref="H15:W46">
    <cfRule type="containsText" dxfId="103" priority="10" operator="containsText" text="12">
      <formula>NOT(ISERROR(SEARCH("12",H15)))</formula>
    </cfRule>
    <cfRule type="expression" dxfId="102" priority="11">
      <formula>H$14="LH"</formula>
    </cfRule>
    <cfRule type="expression" dxfId="101" priority="12" stopIfTrue="1">
      <formula>H$14="SH"</formula>
    </cfRule>
    <cfRule type="expression" dxfId="100" priority="25">
      <formula>EXACT(H15, "S")</formula>
    </cfRule>
    <cfRule type="expression" dxfId="99" priority="26">
      <formula>EXACT(H15, "R")</formula>
    </cfRule>
    <cfRule type="expression" dxfId="98" priority="27">
      <formula>EXACT(H15, "T")</formula>
    </cfRule>
    <cfRule type="containsText" dxfId="97" priority="28" operator="containsText" text="SH">
      <formula>NOT(ISERROR(SEARCH("SH",H15)))</formula>
    </cfRule>
    <cfRule type="expression" dxfId="96" priority="29">
      <formula>EXACT(H15, "RS")</formula>
    </cfRule>
    <cfRule type="containsText" dxfId="95" priority="30" operator="containsText" text="RH">
      <formula>NOT(ISERROR(SEARCH("RH",H15)))</formula>
    </cfRule>
    <cfRule type="expression" dxfId="94" priority="31">
      <formula>EXACT(H15, "LR")</formula>
    </cfRule>
    <cfRule type="expression" dxfId="93" priority="32">
      <formula>EXACT(H15, "L")</formula>
    </cfRule>
    <cfRule type="expression" dxfId="92" priority="33">
      <formula>EXACT(H15, "D")</formula>
    </cfRule>
    <cfRule type="expression" dxfId="91" priority="34">
      <formula>EXACT(H15, "A")</formula>
    </cfRule>
  </conditionalFormatting>
  <conditionalFormatting sqref="H15:AE19 D20:AE20 H21:AE24 C25:AE46">
    <cfRule type="containsBlanks" dxfId="90" priority="37">
      <formula>LEN(TRIM(C15))=0</formula>
    </cfRule>
  </conditionalFormatting>
  <dataValidations count="1">
    <dataValidation type="list" allowBlank="1" showInputMessage="1" showErrorMessage="1" sqref="H14:W14" xr:uid="{64B42702-DBD6-4E48-BA3E-35950F8173B5}">
      <formula1>"SH, LH"</formula1>
    </dataValidation>
  </dataValidations>
  <pageMargins left="0.7" right="0.7" top="0.75" bottom="0.75" header="0.3" footer="0.3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3694-AE16-4CF1-8593-02D76A2DB6F1}">
  <sheetPr>
    <pageSetUpPr fitToPage="1"/>
  </sheetPr>
  <dimension ref="B1:AE62"/>
  <sheetViews>
    <sheetView topLeftCell="A6" zoomScale="70" zoomScaleNormal="70" workbookViewId="0">
      <selection activeCell="AE25" sqref="AE25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17.42578125" style="1" customWidth="1"/>
    <col min="6" max="6" width="14.140625" style="1" customWidth="1"/>
    <col min="7" max="7" width="12" style="1" customWidth="1"/>
    <col min="8" max="21" width="5.7109375" style="1" customWidth="1"/>
    <col min="22" max="22" width="5.5703125" style="1" customWidth="1"/>
    <col min="23" max="23" width="4.85546875" style="1" hidden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177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178</v>
      </c>
      <c r="D15" s="31" t="s">
        <v>278</v>
      </c>
      <c r="E15" s="31" t="s">
        <v>29</v>
      </c>
      <c r="F15" s="31" t="s">
        <v>26</v>
      </c>
      <c r="G15" s="62" t="s">
        <v>54</v>
      </c>
      <c r="H15" s="33">
        <v>8</v>
      </c>
      <c r="I15" s="34" t="s">
        <v>27</v>
      </c>
      <c r="J15" s="34">
        <v>8</v>
      </c>
      <c r="K15" s="34">
        <v>8</v>
      </c>
      <c r="L15" s="34">
        <v>8</v>
      </c>
      <c r="M15" s="34">
        <v>8</v>
      </c>
      <c r="N15" s="34">
        <v>8</v>
      </c>
      <c r="O15" s="34">
        <v>8</v>
      </c>
      <c r="P15" s="34" t="s">
        <v>27</v>
      </c>
      <c r="Q15" s="34">
        <v>8</v>
      </c>
      <c r="R15" s="34">
        <v>8</v>
      </c>
      <c r="S15" s="34">
        <v>8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13</v>
      </c>
      <c r="Y15" s="34">
        <f>X15*8</f>
        <v>104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26</v>
      </c>
    </row>
    <row r="16" spans="2:31" ht="24.95" customHeight="1" x14ac:dyDescent="0.25">
      <c r="B16" s="30">
        <f t="shared" ref="B16:B46" si="2">ROW()-14</f>
        <v>2</v>
      </c>
      <c r="C16" s="61" t="s">
        <v>179</v>
      </c>
      <c r="D16" s="31" t="s">
        <v>277</v>
      </c>
      <c r="E16" s="31" t="s">
        <v>29</v>
      </c>
      <c r="F16" s="31" t="s">
        <v>26</v>
      </c>
      <c r="G16" s="62" t="s">
        <v>55</v>
      </c>
      <c r="H16" s="33">
        <v>8</v>
      </c>
      <c r="I16" s="34">
        <v>8</v>
      </c>
      <c r="J16" s="34" t="s">
        <v>27</v>
      </c>
      <c r="K16" s="34">
        <v>8</v>
      </c>
      <c r="L16" s="34">
        <v>8</v>
      </c>
      <c r="M16" s="34">
        <v>8</v>
      </c>
      <c r="N16" s="34">
        <v>8</v>
      </c>
      <c r="O16" s="34">
        <v>8</v>
      </c>
      <c r="P16" s="34">
        <v>8</v>
      </c>
      <c r="Q16" s="34" t="s">
        <v>27</v>
      </c>
      <c r="R16" s="34">
        <v>8</v>
      </c>
      <c r="S16" s="34">
        <v>8</v>
      </c>
      <c r="T16" s="34">
        <v>8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13</v>
      </c>
      <c r="Y16" s="34">
        <f t="shared" ref="Y16:Y46" si="3">X16*8</f>
        <v>104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>
        <v>13</v>
      </c>
    </row>
    <row r="17" spans="2:31" ht="24.95" customHeight="1" x14ac:dyDescent="0.25">
      <c r="B17" s="30">
        <f t="shared" si="2"/>
        <v>3</v>
      </c>
      <c r="C17" s="61" t="s">
        <v>180</v>
      </c>
      <c r="D17" s="31" t="s">
        <v>279</v>
      </c>
      <c r="E17" s="31" t="s">
        <v>29</v>
      </c>
      <c r="F17" s="31" t="s">
        <v>26</v>
      </c>
      <c r="G17" s="62" t="s">
        <v>55</v>
      </c>
      <c r="H17" s="33">
        <v>8</v>
      </c>
      <c r="I17" s="34">
        <v>8</v>
      </c>
      <c r="J17" s="34">
        <v>8</v>
      </c>
      <c r="K17" s="34" t="s">
        <v>27</v>
      </c>
      <c r="L17" s="34">
        <v>8</v>
      </c>
      <c r="M17" s="34">
        <v>8</v>
      </c>
      <c r="N17" s="34">
        <v>8</v>
      </c>
      <c r="O17" s="34">
        <v>8</v>
      </c>
      <c r="P17" s="34">
        <v>8</v>
      </c>
      <c r="Q17" s="34">
        <v>8</v>
      </c>
      <c r="R17" s="34" t="s">
        <v>27</v>
      </c>
      <c r="S17" s="34">
        <v>8</v>
      </c>
      <c r="T17" s="34">
        <v>8</v>
      </c>
      <c r="U17" s="34">
        <v>8</v>
      </c>
      <c r="V17" s="34" t="s">
        <v>93</v>
      </c>
      <c r="W17" s="35"/>
      <c r="X17" s="36" cm="1">
        <f t="array" ref="X17">SUMPRODUCT(--ISNUMBER(H17:W17), --($H$14:$W$14&lt;&gt;"LH"), --($H$14:$W$14&lt;&gt;"SH"))</f>
        <v>12</v>
      </c>
      <c r="Y17" s="34">
        <f t="shared" si="3"/>
        <v>96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30" customHeight="1" x14ac:dyDescent="0.25">
      <c r="B18" s="30">
        <f t="shared" si="2"/>
        <v>4</v>
      </c>
      <c r="C18" s="61" t="s">
        <v>181</v>
      </c>
      <c r="D18" s="31" t="s">
        <v>281</v>
      </c>
      <c r="E18" s="31" t="s">
        <v>29</v>
      </c>
      <c r="F18" s="31" t="s">
        <v>28</v>
      </c>
      <c r="G18" s="62" t="s">
        <v>56</v>
      </c>
      <c r="H18" s="33">
        <v>8</v>
      </c>
      <c r="I18" s="34" t="s">
        <v>27</v>
      </c>
      <c r="J18" s="34">
        <v>8</v>
      </c>
      <c r="K18" s="34">
        <v>8</v>
      </c>
      <c r="L18" s="34">
        <v>8</v>
      </c>
      <c r="M18" s="34">
        <v>8</v>
      </c>
      <c r="N18" s="34">
        <v>8</v>
      </c>
      <c r="O18" s="34">
        <v>8</v>
      </c>
      <c r="P18" s="34" t="s">
        <v>27</v>
      </c>
      <c r="Q18" s="34">
        <v>8</v>
      </c>
      <c r="R18" s="34">
        <v>8</v>
      </c>
      <c r="S18" s="34">
        <v>8</v>
      </c>
      <c r="T18" s="34">
        <v>8</v>
      </c>
      <c r="U18" s="34">
        <v>8</v>
      </c>
      <c r="V18" s="34">
        <v>8</v>
      </c>
      <c r="W18" s="35"/>
      <c r="X18" s="36" cm="1">
        <f t="array" ref="X18">SUMPRODUCT(--ISNUMBER(H18:W18), --($H$14:$W$14&lt;&gt;"LH"), --($H$14:$W$14&lt;&gt;"SH"))</f>
        <v>13</v>
      </c>
      <c r="Y18" s="34">
        <f t="shared" si="3"/>
        <v>104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13</v>
      </c>
    </row>
    <row r="19" spans="2:31" ht="30.75" customHeight="1" x14ac:dyDescent="0.25">
      <c r="B19" s="30">
        <f t="shared" si="2"/>
        <v>5</v>
      </c>
      <c r="C19" s="61" t="s">
        <v>182</v>
      </c>
      <c r="D19" s="31" t="s">
        <v>280</v>
      </c>
      <c r="E19" s="31" t="s">
        <v>29</v>
      </c>
      <c r="F19" s="31" t="s">
        <v>28</v>
      </c>
      <c r="G19" s="63" t="s">
        <v>57</v>
      </c>
      <c r="H19" s="33">
        <v>8</v>
      </c>
      <c r="I19" s="34">
        <v>8</v>
      </c>
      <c r="J19" s="34" t="s">
        <v>27</v>
      </c>
      <c r="K19" s="34">
        <v>8</v>
      </c>
      <c r="L19" s="34">
        <v>8</v>
      </c>
      <c r="M19" s="34">
        <v>8</v>
      </c>
      <c r="N19" s="34">
        <v>8</v>
      </c>
      <c r="O19" s="34">
        <v>8</v>
      </c>
      <c r="P19" s="34">
        <v>8</v>
      </c>
      <c r="Q19" s="34" t="s">
        <v>27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/>
      <c r="X19" s="36" cm="1">
        <f t="array" ref="X19">SUMPRODUCT(--ISNUMBER(H19:W19), --($H$14:$W$14&lt;&gt;"LH"), --($H$14:$W$14&lt;&gt;"SH"))</f>
        <v>13</v>
      </c>
      <c r="Y19" s="34">
        <f t="shared" si="3"/>
        <v>104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4.95" customHeight="1" x14ac:dyDescent="0.25">
      <c r="B20" s="30">
        <f t="shared" si="2"/>
        <v>6</v>
      </c>
      <c r="C20" s="65" t="s">
        <v>92</v>
      </c>
      <c r="D20" s="31"/>
      <c r="E20" s="31"/>
      <c r="F20" s="31"/>
      <c r="G20" s="32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5"/>
      <c r="X20" s="36" cm="1">
        <f t="array" ref="X20">SUMPRODUCT(--ISNUMBER(H20:W20), --($H$14:$W$14&lt;&gt;"LH"), --($H$14:$W$14&lt;&gt;"SH"))</f>
        <v>0</v>
      </c>
      <c r="Y20" s="34">
        <f t="shared" si="3"/>
        <v>0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customHeight="1" x14ac:dyDescent="0.25">
      <c r="B21" s="30">
        <f t="shared" si="2"/>
        <v>7</v>
      </c>
      <c r="C21" s="61" t="s">
        <v>175</v>
      </c>
      <c r="D21" s="31" t="s">
        <v>276</v>
      </c>
      <c r="E21" s="31" t="s">
        <v>29</v>
      </c>
      <c r="F21" s="31" t="s">
        <v>26</v>
      </c>
      <c r="G21" s="62" t="s">
        <v>54</v>
      </c>
      <c r="H21" s="33"/>
      <c r="I21" s="34">
        <v>8</v>
      </c>
      <c r="J21" s="34"/>
      <c r="K21" s="34"/>
      <c r="L21" s="34"/>
      <c r="M21" s="34"/>
      <c r="N21" s="34"/>
      <c r="O21" s="34"/>
      <c r="P21" s="34">
        <v>8</v>
      </c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2</v>
      </c>
      <c r="Y21" s="34">
        <f t="shared" si="3"/>
        <v>16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88">
        <v>4</v>
      </c>
    </row>
    <row r="22" spans="2:31" ht="24.95" customHeight="1" x14ac:dyDescent="0.25">
      <c r="B22" s="30">
        <f t="shared" si="2"/>
        <v>8</v>
      </c>
      <c r="C22" s="61" t="s">
        <v>175</v>
      </c>
      <c r="D22" s="31" t="s">
        <v>276</v>
      </c>
      <c r="E22" s="31" t="s">
        <v>29</v>
      </c>
      <c r="F22" s="31" t="s">
        <v>26</v>
      </c>
      <c r="G22" s="62" t="s">
        <v>55</v>
      </c>
      <c r="H22" s="33"/>
      <c r="I22" s="34"/>
      <c r="J22" s="34">
        <v>8</v>
      </c>
      <c r="K22" s="34">
        <v>8</v>
      </c>
      <c r="L22" s="34"/>
      <c r="M22" s="34"/>
      <c r="N22" s="34"/>
      <c r="O22" s="34"/>
      <c r="P22" s="34"/>
      <c r="Q22" s="34">
        <v>8</v>
      </c>
      <c r="R22" s="34">
        <v>8</v>
      </c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4</v>
      </c>
      <c r="Y22" s="34">
        <f t="shared" si="3"/>
        <v>32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88">
        <v>4</v>
      </c>
    </row>
    <row r="23" spans="2:31" ht="24.95" customHeight="1" x14ac:dyDescent="0.25">
      <c r="B23" s="30">
        <f t="shared" si="2"/>
        <v>9</v>
      </c>
      <c r="C23" s="61" t="s">
        <v>90</v>
      </c>
      <c r="D23" s="31" t="s">
        <v>245</v>
      </c>
      <c r="E23" s="31" t="s">
        <v>29</v>
      </c>
      <c r="F23" s="31" t="s">
        <v>26</v>
      </c>
      <c r="G23" s="62" t="s">
        <v>55</v>
      </c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>
        <v>8</v>
      </c>
      <c r="W23" s="35"/>
      <c r="X23" s="36" cm="1">
        <f t="array" ref="X23">SUMPRODUCT(--ISNUMBER(H23:W23), --($H$14:$W$14&lt;&gt;"LH"), --($H$14:$W$14&lt;&gt;"SH"))</f>
        <v>1</v>
      </c>
      <c r="Y23" s="34">
        <f t="shared" si="3"/>
        <v>8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88"/>
    </row>
    <row r="24" spans="2:31" ht="32.25" customHeight="1" x14ac:dyDescent="0.25">
      <c r="B24" s="30">
        <f t="shared" si="2"/>
        <v>10</v>
      </c>
      <c r="C24" s="61" t="s">
        <v>176</v>
      </c>
      <c r="D24" s="31" t="s">
        <v>275</v>
      </c>
      <c r="E24" s="31" t="s">
        <v>29</v>
      </c>
      <c r="F24" s="31" t="s">
        <v>28</v>
      </c>
      <c r="G24" s="62" t="s">
        <v>56</v>
      </c>
      <c r="H24" s="33"/>
      <c r="I24" s="34">
        <v>8</v>
      </c>
      <c r="J24" s="34"/>
      <c r="K24" s="34"/>
      <c r="L24" s="34"/>
      <c r="M24" s="34"/>
      <c r="N24" s="34"/>
      <c r="O24" s="34"/>
      <c r="P24" s="34">
        <v>8</v>
      </c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2</v>
      </c>
      <c r="Y24" s="34">
        <f t="shared" si="3"/>
        <v>16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88"/>
    </row>
    <row r="25" spans="2:31" ht="31.5" customHeight="1" x14ac:dyDescent="0.25">
      <c r="B25" s="30">
        <f t="shared" si="2"/>
        <v>11</v>
      </c>
      <c r="C25" s="61" t="s">
        <v>176</v>
      </c>
      <c r="D25" s="31" t="s">
        <v>275</v>
      </c>
      <c r="E25" s="31" t="s">
        <v>29</v>
      </c>
      <c r="F25" s="31" t="s">
        <v>28</v>
      </c>
      <c r="G25" s="63" t="s">
        <v>57</v>
      </c>
      <c r="H25" s="33"/>
      <c r="I25" s="34"/>
      <c r="J25" s="34">
        <v>8</v>
      </c>
      <c r="K25" s="34"/>
      <c r="L25" s="34"/>
      <c r="M25" s="34"/>
      <c r="N25" s="34"/>
      <c r="O25" s="34"/>
      <c r="P25" s="34"/>
      <c r="Q25" s="34">
        <v>8</v>
      </c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2</v>
      </c>
      <c r="Y25" s="34">
        <f t="shared" si="3"/>
        <v>16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88">
        <v>2</v>
      </c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88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75</v>
      </c>
      <c r="H47" s="38">
        <f t="shared" ref="H47:W47" si="7">COUNTA(H15:H46)-COUNTIF(H15:H46,"A")-COUNTIF(H15:H46,"D")-COUNTIF(H15:H46,"L")</f>
        <v>5</v>
      </c>
      <c r="I47" s="39">
        <f t="shared" si="7"/>
        <v>5</v>
      </c>
      <c r="J47" s="39">
        <f t="shared" si="7"/>
        <v>5</v>
      </c>
      <c r="K47" s="39">
        <f t="shared" si="7"/>
        <v>5</v>
      </c>
      <c r="L47" s="39">
        <f t="shared" si="7"/>
        <v>5</v>
      </c>
      <c r="M47" s="39">
        <f t="shared" si="7"/>
        <v>5</v>
      </c>
      <c r="N47" s="39">
        <f t="shared" si="7"/>
        <v>5</v>
      </c>
      <c r="O47" s="39">
        <f t="shared" si="7"/>
        <v>5</v>
      </c>
      <c r="P47" s="39">
        <f t="shared" si="7"/>
        <v>5</v>
      </c>
      <c r="Q47" s="39">
        <f t="shared" si="7"/>
        <v>5</v>
      </c>
      <c r="R47" s="39">
        <f t="shared" si="7"/>
        <v>5</v>
      </c>
      <c r="S47" s="39">
        <f t="shared" si="7"/>
        <v>5</v>
      </c>
      <c r="T47" s="39">
        <f t="shared" si="7"/>
        <v>5</v>
      </c>
      <c r="U47" s="39">
        <f t="shared" si="7"/>
        <v>5</v>
      </c>
      <c r="V47" s="39">
        <f t="shared" si="7"/>
        <v>5</v>
      </c>
      <c r="W47" s="40">
        <f t="shared" si="7"/>
        <v>0</v>
      </c>
      <c r="X47" s="41">
        <f t="shared" ref="X47:AE47" si="8">SUM(X15:X46)</f>
        <v>75</v>
      </c>
      <c r="Y47" s="42">
        <f t="shared" si="8"/>
        <v>600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62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5">
    <cfRule type="cellIs" dxfId="59" priority="2" stopIfTrue="1" operator="equal">
      <formula>0</formula>
    </cfRule>
  </conditionalFormatting>
  <conditionalFormatting sqref="D15:G19">
    <cfRule type="containsBlanks" dxfId="58" priority="6">
      <formula>LEN(TRIM(D15))=0</formula>
    </cfRule>
  </conditionalFormatting>
  <conditionalFormatting sqref="D21:G25">
    <cfRule type="containsBlanks" dxfId="57" priority="1">
      <formula>LEN(TRIM(D21))=0</formula>
    </cfRule>
  </conditionalFormatting>
  <conditionalFormatting sqref="H12:W12">
    <cfRule type="expression" priority="33">
      <formula>TEXT($D$9+COLUMN()-COLUMN($H$12),"ddd")="Sun"</formula>
    </cfRule>
    <cfRule type="expression" dxfId="56" priority="34">
      <formula>TEXT($D$9+COLUMN()-COLUMN($H$12),"ddd")="Sun"</formula>
    </cfRule>
  </conditionalFormatting>
  <conditionalFormatting sqref="H14:W14">
    <cfRule type="containsBlanks" dxfId="55" priority="11">
      <formula>LEN(TRIM(H14))=0</formula>
    </cfRule>
    <cfRule type="expression" dxfId="54" priority="12">
      <formula>EXACT(H14, "S")</formula>
    </cfRule>
    <cfRule type="expression" dxfId="53" priority="13">
      <formula>EXACT(H14, "R")</formula>
    </cfRule>
    <cfRule type="expression" dxfId="52" priority="14">
      <formula>EXACT(H14, "T")</formula>
    </cfRule>
    <cfRule type="containsText" dxfId="51" priority="15" operator="containsText" text="SH">
      <formula>NOT(ISERROR(SEARCH("SH",H14)))</formula>
    </cfRule>
    <cfRule type="expression" dxfId="50" priority="16">
      <formula>EXACT(H14, "RS")</formula>
    </cfRule>
    <cfRule type="containsText" dxfId="49" priority="17" operator="containsText" text="LH">
      <formula>NOT(ISERROR(SEARCH("LH",H14)))</formula>
    </cfRule>
    <cfRule type="expression" dxfId="48" priority="18">
      <formula>EXACT(H14, "LR")</formula>
    </cfRule>
    <cfRule type="expression" dxfId="47" priority="19">
      <formula>EXACT(H14, "L")</formula>
    </cfRule>
    <cfRule type="expression" dxfId="46" priority="20">
      <formula>EXACT(H14, "D")</formula>
    </cfRule>
    <cfRule type="expression" dxfId="45" priority="21">
      <formula>EXACT(H14, "A")</formula>
    </cfRule>
  </conditionalFormatting>
  <conditionalFormatting sqref="H15:W15 H16:H19">
    <cfRule type="containsBlanks" dxfId="44" priority="22">
      <formula>LEN(TRIM(H15))=0</formula>
    </cfRule>
  </conditionalFormatting>
  <conditionalFormatting sqref="H15:W46">
    <cfRule type="containsText" dxfId="43" priority="8" operator="containsText" text="12">
      <formula>NOT(ISERROR(SEARCH("12",H15)))</formula>
    </cfRule>
    <cfRule type="expression" dxfId="42" priority="9">
      <formula>H$14="LH"</formula>
    </cfRule>
    <cfRule type="expression" dxfId="41" priority="10" stopIfTrue="1">
      <formula>H$14="SH"</formula>
    </cfRule>
    <cfRule type="expression" dxfId="40" priority="23">
      <formula>EXACT(H15, "S")</formula>
    </cfRule>
    <cfRule type="expression" dxfId="39" priority="24">
      <formula>EXACT(H15, "R")</formula>
    </cfRule>
    <cfRule type="expression" dxfId="38" priority="25">
      <formula>EXACT(H15, "T")</formula>
    </cfRule>
    <cfRule type="containsText" dxfId="37" priority="26" operator="containsText" text="SH">
      <formula>NOT(ISERROR(SEARCH("SH",H15)))</formula>
    </cfRule>
    <cfRule type="expression" dxfId="36" priority="27">
      <formula>EXACT(H15, "RS")</formula>
    </cfRule>
    <cfRule type="containsText" dxfId="35" priority="28" operator="containsText" text="RH">
      <formula>NOT(ISERROR(SEARCH("RH",H15)))</formula>
    </cfRule>
    <cfRule type="expression" dxfId="34" priority="29">
      <formula>EXACT(H15, "LR")</formula>
    </cfRule>
    <cfRule type="expression" dxfId="33" priority="30">
      <formula>EXACT(H15, "L")</formula>
    </cfRule>
    <cfRule type="expression" dxfId="32" priority="31">
      <formula>EXACT(H15, "D")</formula>
    </cfRule>
    <cfRule type="expression" dxfId="31" priority="32">
      <formula>EXACT(H15, "A")</formula>
    </cfRule>
  </conditionalFormatting>
  <conditionalFormatting sqref="H15:AE19 D20:AE20 H21:AE25 C26:AE46">
    <cfRule type="containsBlanks" dxfId="30" priority="35">
      <formula>LEN(TRIM(C15))=0</formula>
    </cfRule>
  </conditionalFormatting>
  <dataValidations count="1">
    <dataValidation type="list" allowBlank="1" showInputMessage="1" showErrorMessage="1" sqref="H14:W14" xr:uid="{01FB68AA-6A2F-428A-8B57-1357CF5FD09E}">
      <formula1>"SH, LH"</formula1>
    </dataValidation>
  </dataValidations>
  <pageMargins left="0.7" right="0.7" top="0.75" bottom="0.75" header="0.3" footer="0.3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AFE8-7B0D-43FD-B796-27EA7BFD95EC}">
  <sheetPr>
    <pageSetUpPr fitToPage="1"/>
  </sheetPr>
  <dimension ref="B1:AE62"/>
  <sheetViews>
    <sheetView tabSelected="1" topLeftCell="A6" zoomScale="90" zoomScaleNormal="90" workbookViewId="0">
      <selection activeCell="O11" sqref="O11"/>
    </sheetView>
  </sheetViews>
  <sheetFormatPr defaultRowHeight="15" x14ac:dyDescent="0.25"/>
  <cols>
    <col min="1" max="1" width="4.140625" style="1" customWidth="1"/>
    <col min="2" max="2" width="6.5703125" style="1" customWidth="1"/>
    <col min="3" max="3" width="25.5703125" style="1" customWidth="1"/>
    <col min="4" max="4" width="10.7109375" style="1" customWidth="1"/>
    <col min="5" max="5" width="22.7109375" style="1" customWidth="1"/>
    <col min="6" max="6" width="14.140625" style="1" customWidth="1"/>
    <col min="7" max="7" width="12" style="1" customWidth="1"/>
    <col min="8" max="22" width="5.7109375" style="1" customWidth="1"/>
    <col min="23" max="23" width="0.140625" style="1" customWidth="1"/>
    <col min="24" max="30" width="10.42578125" style="2" customWidth="1"/>
    <col min="31" max="31" width="10.42578125" style="1" customWidth="1"/>
    <col min="32" max="16384" width="9.140625" style="1"/>
  </cols>
  <sheetData>
    <row r="1" spans="2:31" ht="15.75" thickBot="1" x14ac:dyDescent="0.3"/>
    <row r="2" spans="2:31" ht="15.75" x14ac:dyDescent="0.25">
      <c r="B2" s="3"/>
      <c r="C2" s="94" t="s">
        <v>0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6"/>
    </row>
    <row r="3" spans="2:31" ht="15.75" x14ac:dyDescent="0.25">
      <c r="B3" s="4"/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9"/>
    </row>
    <row r="4" spans="2:31" ht="15.75" x14ac:dyDescent="0.25">
      <c r="B4" s="4"/>
      <c r="C4" s="100" t="s">
        <v>1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2"/>
    </row>
    <row r="5" spans="2:31" ht="15.75" x14ac:dyDescent="0.25">
      <c r="B5" s="4"/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9"/>
    </row>
    <row r="6" spans="2:31" ht="16.5" customHeight="1" thickBot="1" x14ac:dyDescent="0.3">
      <c r="B6" s="5"/>
      <c r="C6" s="103" t="s">
        <v>2</v>
      </c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5"/>
    </row>
    <row r="7" spans="2:31" ht="23.25" customHeight="1" x14ac:dyDescent="0.25">
      <c r="C7" s="6" t="s">
        <v>3</v>
      </c>
      <c r="G7" s="7"/>
      <c r="H7" s="7"/>
    </row>
    <row r="8" spans="2:31" ht="15" customHeight="1" x14ac:dyDescent="0.25">
      <c r="B8" s="8"/>
      <c r="C8" s="106" t="s">
        <v>25</v>
      </c>
      <c r="D8" s="107"/>
      <c r="E8" s="107"/>
      <c r="F8" s="108"/>
      <c r="G8" s="10"/>
      <c r="H8" s="10"/>
      <c r="I8" s="11"/>
      <c r="J8" s="10"/>
      <c r="K8" s="10"/>
      <c r="L8" s="10"/>
    </row>
    <row r="9" spans="2:31" ht="15" customHeight="1" x14ac:dyDescent="0.25">
      <c r="C9" s="12" t="s">
        <v>4</v>
      </c>
      <c r="D9" s="109">
        <v>45916</v>
      </c>
      <c r="E9" s="109"/>
      <c r="F9" s="13"/>
      <c r="G9" s="14"/>
      <c r="H9" s="15"/>
      <c r="I9" s="15"/>
      <c r="J9" s="15"/>
      <c r="K9" s="15"/>
    </row>
    <row r="10" spans="2:31" ht="15" customHeight="1" x14ac:dyDescent="0.25">
      <c r="B10" s="16"/>
      <c r="C10" s="12" t="s">
        <v>5</v>
      </c>
      <c r="D10" s="110">
        <v>45930</v>
      </c>
      <c r="E10" s="110"/>
      <c r="F10" s="17"/>
      <c r="G10" s="18"/>
      <c r="H10" s="15"/>
      <c r="I10" s="15"/>
      <c r="J10" s="15"/>
      <c r="K10" s="15"/>
    </row>
    <row r="11" spans="2:31" ht="15.75" thickBot="1" x14ac:dyDescent="0.3"/>
    <row r="12" spans="2:31" ht="21.75" customHeight="1" x14ac:dyDescent="0.25">
      <c r="B12" s="111" t="s">
        <v>6</v>
      </c>
      <c r="C12" s="111" t="s">
        <v>7</v>
      </c>
      <c r="D12" s="111" t="s">
        <v>8</v>
      </c>
      <c r="E12" s="111" t="s">
        <v>9</v>
      </c>
      <c r="F12" s="111" t="s">
        <v>10</v>
      </c>
      <c r="G12" s="91" t="s">
        <v>11</v>
      </c>
      <c r="H12" s="19" t="str">
        <f>IF(COLUMN()-COLUMN($H$12)&lt;=$D$10-$D9+1, TEXT($D$9+COLUMN()-COLUMN($H$12),"ddd"), "")</f>
        <v>Tue</v>
      </c>
      <c r="I12" s="20" t="str">
        <f t="shared" ref="I12:W12" si="0">IF(COLUMN()-COLUMN($H$12)&lt;=$D$10-$D9+1, TEXT($D$9+COLUMN()-COLUMN($H$12),"ddd"), "")</f>
        <v>Wed</v>
      </c>
      <c r="J12" s="20" t="str">
        <f t="shared" si="0"/>
        <v>Thu</v>
      </c>
      <c r="K12" s="20" t="str">
        <f t="shared" si="0"/>
        <v>Fri</v>
      </c>
      <c r="L12" s="20" t="str">
        <f t="shared" si="0"/>
        <v>Sat</v>
      </c>
      <c r="M12" s="20" t="str">
        <f t="shared" si="0"/>
        <v>Sun</v>
      </c>
      <c r="N12" s="20" t="str">
        <f t="shared" si="0"/>
        <v>Mon</v>
      </c>
      <c r="O12" s="20" t="str">
        <f t="shared" si="0"/>
        <v>Tue</v>
      </c>
      <c r="P12" s="20" t="str">
        <f t="shared" si="0"/>
        <v>Wed</v>
      </c>
      <c r="Q12" s="20" t="str">
        <f t="shared" si="0"/>
        <v>Thu</v>
      </c>
      <c r="R12" s="20" t="str">
        <f t="shared" si="0"/>
        <v>Fri</v>
      </c>
      <c r="S12" s="20" t="str">
        <f t="shared" si="0"/>
        <v>Sat</v>
      </c>
      <c r="T12" s="20" t="str">
        <f t="shared" si="0"/>
        <v>Sun</v>
      </c>
      <c r="U12" s="20" t="str">
        <f t="shared" si="0"/>
        <v>Mon</v>
      </c>
      <c r="V12" s="20" t="str">
        <f t="shared" si="0"/>
        <v>Tue</v>
      </c>
      <c r="W12" s="21" t="str">
        <f t="shared" si="0"/>
        <v>Wed</v>
      </c>
      <c r="X12" s="22" t="s">
        <v>12</v>
      </c>
      <c r="Y12" s="23" t="s">
        <v>12</v>
      </c>
      <c r="Z12" s="23" t="s">
        <v>13</v>
      </c>
      <c r="AA12" s="23" t="s">
        <v>14</v>
      </c>
      <c r="AB12" s="23" t="s">
        <v>15</v>
      </c>
      <c r="AC12" s="23" t="s">
        <v>16</v>
      </c>
      <c r="AD12" s="23" t="s">
        <v>17</v>
      </c>
      <c r="AE12" s="111" t="s">
        <v>18</v>
      </c>
    </row>
    <row r="13" spans="2:31" ht="13.5" customHeight="1" x14ac:dyDescent="0.25">
      <c r="B13" s="112"/>
      <c r="C13" s="112"/>
      <c r="D13" s="112"/>
      <c r="E13" s="112"/>
      <c r="F13" s="112"/>
      <c r="G13" s="92"/>
      <c r="H13" s="24">
        <f t="shared" ref="H13:W13" si="1">IF(COLUMN()-COLUMN($H$13)&lt;=$D$10-$D$9+1, DAY($D$9+COLUMN()-COLUMN($H$13)), "")</f>
        <v>16</v>
      </c>
      <c r="I13" s="25">
        <f t="shared" si="1"/>
        <v>17</v>
      </c>
      <c r="J13" s="25">
        <f t="shared" si="1"/>
        <v>18</v>
      </c>
      <c r="K13" s="25">
        <f t="shared" si="1"/>
        <v>19</v>
      </c>
      <c r="L13" s="25">
        <f t="shared" si="1"/>
        <v>20</v>
      </c>
      <c r="M13" s="25">
        <f t="shared" si="1"/>
        <v>21</v>
      </c>
      <c r="N13" s="25">
        <f t="shared" si="1"/>
        <v>22</v>
      </c>
      <c r="O13" s="25">
        <f t="shared" si="1"/>
        <v>23</v>
      </c>
      <c r="P13" s="25">
        <f t="shared" si="1"/>
        <v>24</v>
      </c>
      <c r="Q13" s="25">
        <f t="shared" si="1"/>
        <v>25</v>
      </c>
      <c r="R13" s="25">
        <f t="shared" si="1"/>
        <v>26</v>
      </c>
      <c r="S13" s="25">
        <f t="shared" si="1"/>
        <v>27</v>
      </c>
      <c r="T13" s="25">
        <f t="shared" si="1"/>
        <v>28</v>
      </c>
      <c r="U13" s="25">
        <f t="shared" si="1"/>
        <v>29</v>
      </c>
      <c r="V13" s="25">
        <f t="shared" si="1"/>
        <v>30</v>
      </c>
      <c r="W13" s="26">
        <f t="shared" si="1"/>
        <v>1</v>
      </c>
      <c r="X13" s="114" t="s">
        <v>19</v>
      </c>
      <c r="Y13" s="111" t="s">
        <v>20</v>
      </c>
      <c r="Z13" s="111" t="s">
        <v>21</v>
      </c>
      <c r="AA13" s="111" t="s">
        <v>22</v>
      </c>
      <c r="AB13" s="111" t="s">
        <v>23</v>
      </c>
      <c r="AC13" s="111" t="s">
        <v>24</v>
      </c>
      <c r="AD13" s="111" t="s">
        <v>23</v>
      </c>
      <c r="AE13" s="112"/>
    </row>
    <row r="14" spans="2:31" ht="11.25" customHeight="1" x14ac:dyDescent="0.25">
      <c r="B14" s="113"/>
      <c r="C14" s="113"/>
      <c r="D14" s="113"/>
      <c r="E14" s="113"/>
      <c r="F14" s="113"/>
      <c r="G14" s="93"/>
      <c r="H14" s="2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9"/>
      <c r="X14" s="115"/>
      <c r="Y14" s="113"/>
      <c r="Z14" s="113"/>
      <c r="AA14" s="113"/>
      <c r="AB14" s="113"/>
      <c r="AC14" s="113"/>
      <c r="AD14" s="113"/>
      <c r="AE14" s="113"/>
    </row>
    <row r="15" spans="2:31" ht="24.95" customHeight="1" x14ac:dyDescent="0.25">
      <c r="B15" s="30">
        <f>ROW()-14</f>
        <v>1</v>
      </c>
      <c r="C15" s="61" t="s">
        <v>183</v>
      </c>
      <c r="D15" s="31" t="s">
        <v>230</v>
      </c>
      <c r="E15" s="90" t="s">
        <v>25</v>
      </c>
      <c r="F15" s="31" t="s">
        <v>26</v>
      </c>
      <c r="G15" s="62" t="s">
        <v>54</v>
      </c>
      <c r="H15" s="33">
        <v>8</v>
      </c>
      <c r="I15" s="34">
        <v>8</v>
      </c>
      <c r="J15" s="34">
        <v>8</v>
      </c>
      <c r="K15" s="34">
        <v>8</v>
      </c>
      <c r="L15" s="34" t="s">
        <v>27</v>
      </c>
      <c r="M15" s="34" t="s">
        <v>93</v>
      </c>
      <c r="N15" s="34">
        <v>8</v>
      </c>
      <c r="O15" s="34">
        <v>8</v>
      </c>
      <c r="P15" s="34">
        <v>8</v>
      </c>
      <c r="Q15" s="34">
        <v>8</v>
      </c>
      <c r="R15" s="34">
        <v>8</v>
      </c>
      <c r="S15" s="34" t="s">
        <v>27</v>
      </c>
      <c r="T15" s="34">
        <v>8</v>
      </c>
      <c r="U15" s="34">
        <v>8</v>
      </c>
      <c r="V15" s="34">
        <v>8</v>
      </c>
      <c r="W15" s="35"/>
      <c r="X15" s="36" cm="1">
        <f t="array" ref="X15">SUMPRODUCT(--ISNUMBER(H15:W15), --($H$14:$W$14&lt;&gt;"LH"), --($H$14:$W$14&lt;&gt;"SH"))</f>
        <v>12</v>
      </c>
      <c r="Y15" s="34">
        <f>X15*8</f>
        <v>96</v>
      </c>
      <c r="Z15" s="34"/>
      <c r="AA15" s="34">
        <f>SUM(H15:W15)-AB15-AD15-Y15</f>
        <v>0</v>
      </c>
      <c r="AB15" s="34">
        <f>SUMIF($H$14:$W$14,"LH",$H15:$W15)</f>
        <v>0</v>
      </c>
      <c r="AC15" s="34"/>
      <c r="AD15" s="34">
        <f>SUMIF($H$14:$W$14,"SH",$H15:$W15)</f>
        <v>0</v>
      </c>
      <c r="AE15" s="88">
        <v>24</v>
      </c>
    </row>
    <row r="16" spans="2:31" ht="27.75" customHeight="1" x14ac:dyDescent="0.25">
      <c r="B16" s="30">
        <f t="shared" ref="B16:B46" si="2">ROW()-14</f>
        <v>2</v>
      </c>
      <c r="C16" s="61" t="s">
        <v>184</v>
      </c>
      <c r="D16" s="31" t="s">
        <v>186</v>
      </c>
      <c r="E16" s="90" t="s">
        <v>25</v>
      </c>
      <c r="F16" s="31" t="s">
        <v>28</v>
      </c>
      <c r="G16" s="62" t="s">
        <v>56</v>
      </c>
      <c r="H16" s="33">
        <v>8</v>
      </c>
      <c r="I16" s="34" t="s">
        <v>93</v>
      </c>
      <c r="J16" s="34">
        <v>8</v>
      </c>
      <c r="K16" s="34" t="s">
        <v>27</v>
      </c>
      <c r="L16" s="34"/>
      <c r="M16" s="34">
        <v>8</v>
      </c>
      <c r="N16" s="34">
        <v>8</v>
      </c>
      <c r="O16" s="34">
        <v>8</v>
      </c>
      <c r="P16" s="34">
        <v>8</v>
      </c>
      <c r="Q16" s="34">
        <v>8</v>
      </c>
      <c r="R16" s="34" t="s">
        <v>27</v>
      </c>
      <c r="S16" s="34"/>
      <c r="T16" s="34" t="s">
        <v>93</v>
      </c>
      <c r="U16" s="34">
        <v>8</v>
      </c>
      <c r="V16" s="34">
        <v>8</v>
      </c>
      <c r="W16" s="35"/>
      <c r="X16" s="36" cm="1">
        <f t="array" ref="X16">SUMPRODUCT(--ISNUMBER(H16:W16), --($H$14:$W$14&lt;&gt;"LH"), --($H$14:$W$14&lt;&gt;"SH"))</f>
        <v>9</v>
      </c>
      <c r="Y16" s="34">
        <f t="shared" ref="Y16:Y46" si="3">X16*8</f>
        <v>72</v>
      </c>
      <c r="Z16" s="34"/>
      <c r="AA16" s="34">
        <f t="shared" ref="AA16:AA46" si="4">SUM(H16:W16)-AB16-AD16-Y16</f>
        <v>0</v>
      </c>
      <c r="AB16" s="34">
        <f t="shared" ref="AB16:AB46" si="5">SUMIF($H$14:$W$14,"LH",$H16:$W16)</f>
        <v>0</v>
      </c>
      <c r="AC16" s="34"/>
      <c r="AD16" s="34">
        <f t="shared" ref="AD16:AD46" si="6">SUMIF($H$14:$W$14,"SH",$H16:$W16)</f>
        <v>0</v>
      </c>
      <c r="AE16" s="88"/>
    </row>
    <row r="17" spans="2:31" ht="24.95" customHeight="1" x14ac:dyDescent="0.25">
      <c r="B17" s="30">
        <f t="shared" si="2"/>
        <v>3</v>
      </c>
      <c r="C17" s="65" t="s">
        <v>92</v>
      </c>
      <c r="D17" s="31"/>
      <c r="E17" s="90"/>
      <c r="F17" s="31"/>
      <c r="G17" s="32"/>
      <c r="H17" s="3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6" cm="1">
        <f t="array" ref="X17">SUMPRODUCT(--ISNUMBER(H17:W17), --($H$14:$W$14&lt;&gt;"LH"), --($H$14:$W$14&lt;&gt;"SH"))</f>
        <v>0</v>
      </c>
      <c r="Y17" s="34">
        <f t="shared" si="3"/>
        <v>0</v>
      </c>
      <c r="Z17" s="34"/>
      <c r="AA17" s="34">
        <f t="shared" si="4"/>
        <v>0</v>
      </c>
      <c r="AB17" s="34">
        <f t="shared" si="5"/>
        <v>0</v>
      </c>
      <c r="AC17" s="34"/>
      <c r="AD17" s="34">
        <f t="shared" si="6"/>
        <v>0</v>
      </c>
      <c r="AE17" s="88"/>
    </row>
    <row r="18" spans="2:31" ht="24.95" customHeight="1" x14ac:dyDescent="0.25">
      <c r="B18" s="30">
        <f t="shared" si="2"/>
        <v>4</v>
      </c>
      <c r="C18" s="61" t="s">
        <v>184</v>
      </c>
      <c r="D18" s="31" t="s">
        <v>186</v>
      </c>
      <c r="E18" s="90" t="s">
        <v>25</v>
      </c>
      <c r="F18" s="31" t="s">
        <v>26</v>
      </c>
      <c r="G18" s="62" t="s">
        <v>54</v>
      </c>
      <c r="H18" s="33"/>
      <c r="I18" s="34"/>
      <c r="J18" s="34"/>
      <c r="K18" s="34"/>
      <c r="L18" s="34">
        <v>8</v>
      </c>
      <c r="M18" s="34">
        <v>8</v>
      </c>
      <c r="N18" s="34"/>
      <c r="O18" s="34"/>
      <c r="P18" s="34"/>
      <c r="Q18" s="34"/>
      <c r="R18" s="34"/>
      <c r="S18" s="34">
        <v>8</v>
      </c>
      <c r="T18" s="34"/>
      <c r="U18" s="34"/>
      <c r="V18" s="34"/>
      <c r="W18" s="35"/>
      <c r="X18" s="36" cm="1">
        <f t="array" ref="X18">SUMPRODUCT(--ISNUMBER(H18:W18), --($H$14:$W$14&lt;&gt;"LH"), --($H$14:$W$14&lt;&gt;"SH"))</f>
        <v>3</v>
      </c>
      <c r="Y18" s="34">
        <f t="shared" si="3"/>
        <v>24</v>
      </c>
      <c r="Z18" s="34"/>
      <c r="AA18" s="34">
        <f t="shared" si="4"/>
        <v>0</v>
      </c>
      <c r="AB18" s="34">
        <f t="shared" si="5"/>
        <v>0</v>
      </c>
      <c r="AC18" s="34"/>
      <c r="AD18" s="34">
        <f t="shared" si="6"/>
        <v>0</v>
      </c>
      <c r="AE18" s="88">
        <v>6</v>
      </c>
    </row>
    <row r="19" spans="2:31" ht="30" customHeight="1" x14ac:dyDescent="0.25">
      <c r="B19" s="30">
        <f t="shared" si="2"/>
        <v>5</v>
      </c>
      <c r="C19" s="61" t="s">
        <v>185</v>
      </c>
      <c r="D19" s="31"/>
      <c r="E19" s="90" t="s">
        <v>294</v>
      </c>
      <c r="F19" s="31" t="s">
        <v>28</v>
      </c>
      <c r="G19" s="62" t="s">
        <v>56</v>
      </c>
      <c r="H19" s="33"/>
      <c r="I19" s="34"/>
      <c r="J19" s="34"/>
      <c r="K19" s="34">
        <v>8</v>
      </c>
      <c r="L19" s="34">
        <v>8</v>
      </c>
      <c r="M19" s="34"/>
      <c r="N19" s="34"/>
      <c r="O19" s="34"/>
      <c r="P19" s="34"/>
      <c r="Q19" s="34"/>
      <c r="R19" s="34">
        <v>8</v>
      </c>
      <c r="S19" s="34">
        <v>8</v>
      </c>
      <c r="T19" s="34"/>
      <c r="U19" s="34"/>
      <c r="V19" s="34"/>
      <c r="W19" s="35"/>
      <c r="X19" s="36" cm="1">
        <f t="array" ref="X19">SUMPRODUCT(--ISNUMBER(H19:W19), --($H$14:$W$14&lt;&gt;"LH"), --($H$14:$W$14&lt;&gt;"SH"))</f>
        <v>4</v>
      </c>
      <c r="Y19" s="34">
        <f t="shared" si="3"/>
        <v>32</v>
      </c>
      <c r="Z19" s="34"/>
      <c r="AA19" s="34">
        <f t="shared" si="4"/>
        <v>0</v>
      </c>
      <c r="AB19" s="34">
        <f t="shared" si="5"/>
        <v>0</v>
      </c>
      <c r="AC19" s="34"/>
      <c r="AD19" s="34">
        <f t="shared" si="6"/>
        <v>0</v>
      </c>
      <c r="AE19" s="88"/>
    </row>
    <row r="20" spans="2:31" ht="27.75" customHeight="1" x14ac:dyDescent="0.25">
      <c r="B20" s="30">
        <f t="shared" si="2"/>
        <v>6</v>
      </c>
      <c r="C20" s="61" t="s">
        <v>183</v>
      </c>
      <c r="D20" s="31" t="s">
        <v>230</v>
      </c>
      <c r="E20" s="90" t="s">
        <v>25</v>
      </c>
      <c r="F20" s="31" t="s">
        <v>28</v>
      </c>
      <c r="G20" s="62" t="s">
        <v>56</v>
      </c>
      <c r="H20" s="33"/>
      <c r="I20" s="34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>
        <v>8</v>
      </c>
      <c r="U20" s="34"/>
      <c r="V20" s="34"/>
      <c r="W20" s="35"/>
      <c r="X20" s="36" cm="1">
        <f t="array" ref="X20">SUMPRODUCT(--ISNUMBER(H20:W20), --($H$14:$W$14&lt;&gt;"LH"), --($H$14:$W$14&lt;&gt;"SH"))</f>
        <v>2</v>
      </c>
      <c r="Y20" s="34">
        <f t="shared" si="3"/>
        <v>16</v>
      </c>
      <c r="Z20" s="34"/>
      <c r="AA20" s="34">
        <f t="shared" si="4"/>
        <v>0</v>
      </c>
      <c r="AB20" s="34">
        <f t="shared" si="5"/>
        <v>0</v>
      </c>
      <c r="AC20" s="34"/>
      <c r="AD20" s="34">
        <f t="shared" si="6"/>
        <v>0</v>
      </c>
      <c r="AE20" s="88"/>
    </row>
    <row r="21" spans="2:31" ht="24.95" hidden="1" customHeight="1" x14ac:dyDescent="0.25">
      <c r="B21" s="30">
        <f t="shared" si="2"/>
        <v>7</v>
      </c>
      <c r="C21" s="31"/>
      <c r="D21" s="31"/>
      <c r="E21" s="31"/>
      <c r="F21" s="31"/>
      <c r="G21" s="32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6" cm="1">
        <f t="array" ref="X21">SUMPRODUCT(--ISNUMBER(H21:W21), --($H$14:$W$14&lt;&gt;"LH"), --($H$14:$W$14&lt;&gt;"SH"))</f>
        <v>0</v>
      </c>
      <c r="Y21" s="34">
        <f t="shared" si="3"/>
        <v>0</v>
      </c>
      <c r="Z21" s="34"/>
      <c r="AA21" s="34">
        <f t="shared" si="4"/>
        <v>0</v>
      </c>
      <c r="AB21" s="34">
        <f t="shared" si="5"/>
        <v>0</v>
      </c>
      <c r="AC21" s="34"/>
      <c r="AD21" s="34">
        <f t="shared" si="6"/>
        <v>0</v>
      </c>
      <c r="AE21" s="37"/>
    </row>
    <row r="22" spans="2:31" ht="24.95" hidden="1" customHeight="1" x14ac:dyDescent="0.25">
      <c r="B22" s="30">
        <f t="shared" si="2"/>
        <v>8</v>
      </c>
      <c r="C22" s="31"/>
      <c r="D22" s="31"/>
      <c r="E22" s="31"/>
      <c r="F22" s="31"/>
      <c r="G22" s="32"/>
      <c r="H22" s="33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5"/>
      <c r="X22" s="36" cm="1">
        <f t="array" ref="X22">SUMPRODUCT(--ISNUMBER(H22:W22), --($H$14:$W$14&lt;&gt;"LH"), --($H$14:$W$14&lt;&gt;"SH"))</f>
        <v>0</v>
      </c>
      <c r="Y22" s="34">
        <f t="shared" si="3"/>
        <v>0</v>
      </c>
      <c r="Z22" s="34"/>
      <c r="AA22" s="34">
        <f t="shared" si="4"/>
        <v>0</v>
      </c>
      <c r="AB22" s="34">
        <f t="shared" si="5"/>
        <v>0</v>
      </c>
      <c r="AC22" s="34"/>
      <c r="AD22" s="34">
        <f t="shared" si="6"/>
        <v>0</v>
      </c>
      <c r="AE22" s="37"/>
    </row>
    <row r="23" spans="2:31" ht="24.95" hidden="1" customHeight="1" x14ac:dyDescent="0.25">
      <c r="B23" s="30">
        <f t="shared" si="2"/>
        <v>9</v>
      </c>
      <c r="C23" s="31"/>
      <c r="D23" s="31"/>
      <c r="E23" s="31"/>
      <c r="F23" s="31"/>
      <c r="G23" s="32"/>
      <c r="H23" s="33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6" cm="1">
        <f t="array" ref="X23">SUMPRODUCT(--ISNUMBER(H23:W23), --($H$14:$W$14&lt;&gt;"LH"), --($H$14:$W$14&lt;&gt;"SH"))</f>
        <v>0</v>
      </c>
      <c r="Y23" s="34">
        <f t="shared" si="3"/>
        <v>0</v>
      </c>
      <c r="Z23" s="34"/>
      <c r="AA23" s="34">
        <f t="shared" si="4"/>
        <v>0</v>
      </c>
      <c r="AB23" s="34">
        <f t="shared" si="5"/>
        <v>0</v>
      </c>
      <c r="AC23" s="34"/>
      <c r="AD23" s="34">
        <f t="shared" si="6"/>
        <v>0</v>
      </c>
      <c r="AE23" s="37"/>
    </row>
    <row r="24" spans="2:31" ht="24.95" hidden="1" customHeight="1" x14ac:dyDescent="0.25">
      <c r="B24" s="30">
        <f t="shared" si="2"/>
        <v>10</v>
      </c>
      <c r="C24" s="31"/>
      <c r="D24" s="31"/>
      <c r="E24" s="31"/>
      <c r="F24" s="31"/>
      <c r="G24" s="32"/>
      <c r="H24" s="33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5"/>
      <c r="X24" s="36" cm="1">
        <f t="array" ref="X24">SUMPRODUCT(--ISNUMBER(H24:W24), --($H$14:$W$14&lt;&gt;"LH"), --($H$14:$W$14&lt;&gt;"SH"))</f>
        <v>0</v>
      </c>
      <c r="Y24" s="34">
        <f t="shared" si="3"/>
        <v>0</v>
      </c>
      <c r="Z24" s="34"/>
      <c r="AA24" s="34">
        <f t="shared" si="4"/>
        <v>0</v>
      </c>
      <c r="AB24" s="34">
        <f t="shared" si="5"/>
        <v>0</v>
      </c>
      <c r="AC24" s="34"/>
      <c r="AD24" s="34">
        <f t="shared" si="6"/>
        <v>0</v>
      </c>
      <c r="AE24" s="37"/>
    </row>
    <row r="25" spans="2:31" ht="24.95" hidden="1" customHeight="1" x14ac:dyDescent="0.25">
      <c r="B25" s="30">
        <f t="shared" si="2"/>
        <v>11</v>
      </c>
      <c r="C25" s="31"/>
      <c r="D25" s="31"/>
      <c r="E25" s="31"/>
      <c r="F25" s="31"/>
      <c r="G25" s="32"/>
      <c r="H25" s="33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6" cm="1">
        <f t="array" ref="X25">SUMPRODUCT(--ISNUMBER(H25:W25), --($H$14:$W$14&lt;&gt;"LH"), --($H$14:$W$14&lt;&gt;"SH"))</f>
        <v>0</v>
      </c>
      <c r="Y25" s="34">
        <f t="shared" si="3"/>
        <v>0</v>
      </c>
      <c r="Z25" s="34"/>
      <c r="AA25" s="34">
        <f t="shared" si="4"/>
        <v>0</v>
      </c>
      <c r="AB25" s="34">
        <f t="shared" si="5"/>
        <v>0</v>
      </c>
      <c r="AC25" s="34"/>
      <c r="AD25" s="34">
        <f t="shared" si="6"/>
        <v>0</v>
      </c>
      <c r="AE25" s="37"/>
    </row>
    <row r="26" spans="2:31" ht="24.95" hidden="1" customHeight="1" x14ac:dyDescent="0.25">
      <c r="B26" s="30">
        <f t="shared" si="2"/>
        <v>12</v>
      </c>
      <c r="C26" s="31"/>
      <c r="D26" s="31"/>
      <c r="E26" s="31"/>
      <c r="F26" s="31"/>
      <c r="G26" s="32"/>
      <c r="H26" s="33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5"/>
      <c r="X26" s="36" cm="1">
        <f t="array" ref="X26">SUMPRODUCT(--ISNUMBER(H26:W26), --($H$14:$W$14&lt;&gt;"LH"), --($H$14:$W$14&lt;&gt;"SH"))</f>
        <v>0</v>
      </c>
      <c r="Y26" s="34">
        <f t="shared" si="3"/>
        <v>0</v>
      </c>
      <c r="Z26" s="34"/>
      <c r="AA26" s="34">
        <f t="shared" si="4"/>
        <v>0</v>
      </c>
      <c r="AB26" s="34">
        <f t="shared" si="5"/>
        <v>0</v>
      </c>
      <c r="AC26" s="34"/>
      <c r="AD26" s="34">
        <f t="shared" si="6"/>
        <v>0</v>
      </c>
      <c r="AE26" s="37"/>
    </row>
    <row r="27" spans="2:31" ht="24.95" hidden="1" customHeight="1" x14ac:dyDescent="0.25">
      <c r="B27" s="30">
        <f t="shared" si="2"/>
        <v>13</v>
      </c>
      <c r="C27" s="31"/>
      <c r="D27" s="31"/>
      <c r="E27" s="31"/>
      <c r="F27" s="31"/>
      <c r="G27" s="32"/>
      <c r="H27" s="33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6" cm="1">
        <f t="array" ref="X27">SUMPRODUCT(--ISNUMBER(H27:W27), --($H$14:$W$14&lt;&gt;"LH"), --($H$14:$W$14&lt;&gt;"SH"))</f>
        <v>0</v>
      </c>
      <c r="Y27" s="34">
        <f t="shared" si="3"/>
        <v>0</v>
      </c>
      <c r="Z27" s="34"/>
      <c r="AA27" s="34">
        <f t="shared" si="4"/>
        <v>0</v>
      </c>
      <c r="AB27" s="34">
        <f t="shared" si="5"/>
        <v>0</v>
      </c>
      <c r="AC27" s="34"/>
      <c r="AD27" s="34">
        <f t="shared" si="6"/>
        <v>0</v>
      </c>
      <c r="AE27" s="37"/>
    </row>
    <row r="28" spans="2:31" ht="24.95" hidden="1" customHeight="1" x14ac:dyDescent="0.25">
      <c r="B28" s="30">
        <f t="shared" si="2"/>
        <v>14</v>
      </c>
      <c r="C28" s="31"/>
      <c r="D28" s="31"/>
      <c r="E28" s="31"/>
      <c r="F28" s="31"/>
      <c r="G28" s="32"/>
      <c r="H28" s="33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5"/>
      <c r="X28" s="36" cm="1">
        <f t="array" ref="X28">SUMPRODUCT(--ISNUMBER(H28:W28), --($H$14:$W$14&lt;&gt;"LH"), --($H$14:$W$14&lt;&gt;"SH"))</f>
        <v>0</v>
      </c>
      <c r="Y28" s="34">
        <f t="shared" si="3"/>
        <v>0</v>
      </c>
      <c r="Z28" s="34"/>
      <c r="AA28" s="34">
        <f t="shared" si="4"/>
        <v>0</v>
      </c>
      <c r="AB28" s="34">
        <f t="shared" si="5"/>
        <v>0</v>
      </c>
      <c r="AC28" s="34"/>
      <c r="AD28" s="34">
        <f t="shared" si="6"/>
        <v>0</v>
      </c>
      <c r="AE28" s="37"/>
    </row>
    <row r="29" spans="2:31" ht="24.95" hidden="1" customHeight="1" x14ac:dyDescent="0.25">
      <c r="B29" s="30">
        <f t="shared" si="2"/>
        <v>15</v>
      </c>
      <c r="C29" s="31"/>
      <c r="D29" s="31"/>
      <c r="E29" s="31"/>
      <c r="F29" s="31"/>
      <c r="G29" s="32"/>
      <c r="H29" s="33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6" cm="1">
        <f t="array" ref="X29">SUMPRODUCT(--ISNUMBER(H29:W29), --($H$14:$W$14&lt;&gt;"LH"), --($H$14:$W$14&lt;&gt;"SH"))</f>
        <v>0</v>
      </c>
      <c r="Y29" s="34">
        <f t="shared" si="3"/>
        <v>0</v>
      </c>
      <c r="Z29" s="34"/>
      <c r="AA29" s="34">
        <f t="shared" si="4"/>
        <v>0</v>
      </c>
      <c r="AB29" s="34">
        <f t="shared" si="5"/>
        <v>0</v>
      </c>
      <c r="AC29" s="34"/>
      <c r="AD29" s="34">
        <f t="shared" si="6"/>
        <v>0</v>
      </c>
      <c r="AE29" s="37"/>
    </row>
    <row r="30" spans="2:31" ht="24.95" hidden="1" customHeight="1" x14ac:dyDescent="0.25">
      <c r="B30" s="30">
        <f t="shared" si="2"/>
        <v>16</v>
      </c>
      <c r="C30" s="31"/>
      <c r="D30" s="31"/>
      <c r="E30" s="31"/>
      <c r="F30" s="31"/>
      <c r="G30" s="32"/>
      <c r="H30" s="33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36" cm="1">
        <f t="array" ref="X30">SUMPRODUCT(--ISNUMBER(H30:W30), --($H$14:$W$14&lt;&gt;"LH"), --($H$14:$W$14&lt;&gt;"SH"))</f>
        <v>0</v>
      </c>
      <c r="Y30" s="34">
        <f t="shared" si="3"/>
        <v>0</v>
      </c>
      <c r="Z30" s="34"/>
      <c r="AA30" s="34">
        <f t="shared" si="4"/>
        <v>0</v>
      </c>
      <c r="AB30" s="34">
        <f t="shared" si="5"/>
        <v>0</v>
      </c>
      <c r="AC30" s="34"/>
      <c r="AD30" s="34">
        <f t="shared" si="6"/>
        <v>0</v>
      </c>
      <c r="AE30" s="37"/>
    </row>
    <row r="31" spans="2:31" ht="24.95" hidden="1" customHeight="1" x14ac:dyDescent="0.25">
      <c r="B31" s="30">
        <f t="shared" si="2"/>
        <v>17</v>
      </c>
      <c r="C31" s="31"/>
      <c r="D31" s="31"/>
      <c r="E31" s="31"/>
      <c r="F31" s="31"/>
      <c r="G31" s="32"/>
      <c r="H31" s="33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6" cm="1">
        <f t="array" ref="X31">SUMPRODUCT(--ISNUMBER(H31:W31), --($H$14:$W$14&lt;&gt;"LH"), --($H$14:$W$14&lt;&gt;"SH"))</f>
        <v>0</v>
      </c>
      <c r="Y31" s="34">
        <f t="shared" si="3"/>
        <v>0</v>
      </c>
      <c r="Z31" s="34"/>
      <c r="AA31" s="34">
        <f t="shared" si="4"/>
        <v>0</v>
      </c>
      <c r="AB31" s="34">
        <f t="shared" si="5"/>
        <v>0</v>
      </c>
      <c r="AC31" s="34"/>
      <c r="AD31" s="34">
        <f t="shared" si="6"/>
        <v>0</v>
      </c>
      <c r="AE31" s="37"/>
    </row>
    <row r="32" spans="2:31" ht="24.95" hidden="1" customHeight="1" x14ac:dyDescent="0.25">
      <c r="B32" s="30">
        <f t="shared" si="2"/>
        <v>18</v>
      </c>
      <c r="C32" s="31"/>
      <c r="D32" s="31"/>
      <c r="E32" s="31"/>
      <c r="F32" s="31"/>
      <c r="G32" s="32"/>
      <c r="H32" s="33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5"/>
      <c r="X32" s="36" cm="1">
        <f t="array" ref="X32">SUMPRODUCT(--ISNUMBER(H32:W32), --($H$14:$W$14&lt;&gt;"LH"), --($H$14:$W$14&lt;&gt;"SH"))</f>
        <v>0</v>
      </c>
      <c r="Y32" s="34">
        <f t="shared" si="3"/>
        <v>0</v>
      </c>
      <c r="Z32" s="34"/>
      <c r="AA32" s="34">
        <f t="shared" si="4"/>
        <v>0</v>
      </c>
      <c r="AB32" s="34">
        <f t="shared" si="5"/>
        <v>0</v>
      </c>
      <c r="AC32" s="34"/>
      <c r="AD32" s="34">
        <f t="shared" si="6"/>
        <v>0</v>
      </c>
      <c r="AE32" s="37"/>
    </row>
    <row r="33" spans="2:31" ht="24.95" hidden="1" customHeight="1" x14ac:dyDescent="0.25">
      <c r="B33" s="30">
        <f t="shared" si="2"/>
        <v>19</v>
      </c>
      <c r="C33" s="31"/>
      <c r="D33" s="31"/>
      <c r="E33" s="31"/>
      <c r="F33" s="31"/>
      <c r="G33" s="32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6" cm="1">
        <f t="array" ref="X33">SUMPRODUCT(--ISNUMBER(H33:W33), --($H$14:$W$14&lt;&gt;"LH"), --($H$14:$W$14&lt;&gt;"SH"))</f>
        <v>0</v>
      </c>
      <c r="Y33" s="34">
        <f t="shared" si="3"/>
        <v>0</v>
      </c>
      <c r="Z33" s="34"/>
      <c r="AA33" s="34">
        <f t="shared" si="4"/>
        <v>0</v>
      </c>
      <c r="AB33" s="34">
        <f t="shared" si="5"/>
        <v>0</v>
      </c>
      <c r="AC33" s="34"/>
      <c r="AD33" s="34">
        <f t="shared" si="6"/>
        <v>0</v>
      </c>
      <c r="AE33" s="37"/>
    </row>
    <row r="34" spans="2:31" ht="24.95" hidden="1" customHeight="1" x14ac:dyDescent="0.25">
      <c r="B34" s="30">
        <f t="shared" si="2"/>
        <v>20</v>
      </c>
      <c r="C34" s="31"/>
      <c r="D34" s="31"/>
      <c r="E34" s="31"/>
      <c r="F34" s="31"/>
      <c r="G34" s="32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5"/>
      <c r="X34" s="36" cm="1">
        <f t="array" ref="X34">SUMPRODUCT(--ISNUMBER(H34:W34), --($H$14:$W$14&lt;&gt;"LH"), --($H$14:$W$14&lt;&gt;"SH"))</f>
        <v>0</v>
      </c>
      <c r="Y34" s="34">
        <f t="shared" si="3"/>
        <v>0</v>
      </c>
      <c r="Z34" s="34"/>
      <c r="AA34" s="34">
        <f t="shared" si="4"/>
        <v>0</v>
      </c>
      <c r="AB34" s="34">
        <f t="shared" si="5"/>
        <v>0</v>
      </c>
      <c r="AC34" s="34"/>
      <c r="AD34" s="34">
        <f t="shared" si="6"/>
        <v>0</v>
      </c>
      <c r="AE34" s="37"/>
    </row>
    <row r="35" spans="2:31" ht="24.95" hidden="1" customHeight="1" x14ac:dyDescent="0.25">
      <c r="B35" s="30">
        <f t="shared" si="2"/>
        <v>21</v>
      </c>
      <c r="C35" s="31"/>
      <c r="D35" s="31"/>
      <c r="E35" s="31"/>
      <c r="F35" s="31"/>
      <c r="G35" s="32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6" cm="1">
        <f t="array" ref="X35">SUMPRODUCT(--ISNUMBER(H35:W35), --($H$14:$W$14&lt;&gt;"LH"), --($H$14:$W$14&lt;&gt;"SH"))</f>
        <v>0</v>
      </c>
      <c r="Y35" s="34">
        <f t="shared" si="3"/>
        <v>0</v>
      </c>
      <c r="Z35" s="34"/>
      <c r="AA35" s="34">
        <f t="shared" si="4"/>
        <v>0</v>
      </c>
      <c r="AB35" s="34">
        <f t="shared" si="5"/>
        <v>0</v>
      </c>
      <c r="AC35" s="34"/>
      <c r="AD35" s="34">
        <f t="shared" si="6"/>
        <v>0</v>
      </c>
      <c r="AE35" s="37"/>
    </row>
    <row r="36" spans="2:31" ht="24.95" hidden="1" customHeight="1" x14ac:dyDescent="0.25">
      <c r="B36" s="30">
        <f t="shared" si="2"/>
        <v>22</v>
      </c>
      <c r="C36" s="31"/>
      <c r="D36" s="31"/>
      <c r="E36" s="31"/>
      <c r="F36" s="31"/>
      <c r="G36" s="32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5"/>
      <c r="X36" s="36" cm="1">
        <f t="array" ref="X36">SUMPRODUCT(--ISNUMBER(H36:W36), --($H$14:$W$14&lt;&gt;"LH"), --($H$14:$W$14&lt;&gt;"SH"))</f>
        <v>0</v>
      </c>
      <c r="Y36" s="34">
        <f t="shared" si="3"/>
        <v>0</v>
      </c>
      <c r="Z36" s="34"/>
      <c r="AA36" s="34">
        <f t="shared" si="4"/>
        <v>0</v>
      </c>
      <c r="AB36" s="34">
        <f t="shared" si="5"/>
        <v>0</v>
      </c>
      <c r="AC36" s="34"/>
      <c r="AD36" s="34">
        <f t="shared" si="6"/>
        <v>0</v>
      </c>
      <c r="AE36" s="37"/>
    </row>
    <row r="37" spans="2:31" ht="24.95" hidden="1" customHeight="1" x14ac:dyDescent="0.25">
      <c r="B37" s="30">
        <f t="shared" si="2"/>
        <v>23</v>
      </c>
      <c r="C37" s="31"/>
      <c r="D37" s="31"/>
      <c r="E37" s="31"/>
      <c r="F37" s="31"/>
      <c r="G37" s="32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6" cm="1">
        <f t="array" ref="X37">SUMPRODUCT(--ISNUMBER(H37:W37), --($H$14:$W$14&lt;&gt;"LH"), --($H$14:$W$14&lt;&gt;"SH"))</f>
        <v>0</v>
      </c>
      <c r="Y37" s="34">
        <f t="shared" si="3"/>
        <v>0</v>
      </c>
      <c r="Z37" s="34"/>
      <c r="AA37" s="34">
        <f t="shared" si="4"/>
        <v>0</v>
      </c>
      <c r="AB37" s="34">
        <f t="shared" si="5"/>
        <v>0</v>
      </c>
      <c r="AC37" s="34"/>
      <c r="AD37" s="34">
        <f t="shared" si="6"/>
        <v>0</v>
      </c>
      <c r="AE37" s="37"/>
    </row>
    <row r="38" spans="2:31" ht="24.95" hidden="1" customHeight="1" x14ac:dyDescent="0.25">
      <c r="B38" s="30">
        <f t="shared" si="2"/>
        <v>24</v>
      </c>
      <c r="C38" s="31"/>
      <c r="D38" s="31"/>
      <c r="E38" s="31"/>
      <c r="F38" s="31"/>
      <c r="G38" s="32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5"/>
      <c r="X38" s="36" cm="1">
        <f t="array" ref="X38">SUMPRODUCT(--ISNUMBER(H38:W38), --($H$14:$W$14&lt;&gt;"LH"), --($H$14:$W$14&lt;&gt;"SH"))</f>
        <v>0</v>
      </c>
      <c r="Y38" s="34">
        <f t="shared" si="3"/>
        <v>0</v>
      </c>
      <c r="Z38" s="34"/>
      <c r="AA38" s="34">
        <f t="shared" si="4"/>
        <v>0</v>
      </c>
      <c r="AB38" s="34">
        <f t="shared" si="5"/>
        <v>0</v>
      </c>
      <c r="AC38" s="34"/>
      <c r="AD38" s="34">
        <f t="shared" si="6"/>
        <v>0</v>
      </c>
      <c r="AE38" s="37"/>
    </row>
    <row r="39" spans="2:31" ht="24.95" hidden="1" customHeight="1" x14ac:dyDescent="0.25">
      <c r="B39" s="30">
        <f t="shared" si="2"/>
        <v>25</v>
      </c>
      <c r="C39" s="31"/>
      <c r="D39" s="31"/>
      <c r="E39" s="31"/>
      <c r="F39" s="31"/>
      <c r="G39" s="32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6" cm="1">
        <f t="array" ref="X39">SUMPRODUCT(--ISNUMBER(H39:W39), --($H$14:$W$14&lt;&gt;"LH"), --($H$14:$W$14&lt;&gt;"SH"))</f>
        <v>0</v>
      </c>
      <c r="Y39" s="34">
        <f t="shared" si="3"/>
        <v>0</v>
      </c>
      <c r="Z39" s="34"/>
      <c r="AA39" s="34">
        <f t="shared" si="4"/>
        <v>0</v>
      </c>
      <c r="AB39" s="34">
        <f t="shared" si="5"/>
        <v>0</v>
      </c>
      <c r="AC39" s="34"/>
      <c r="AD39" s="34">
        <f t="shared" si="6"/>
        <v>0</v>
      </c>
      <c r="AE39" s="37"/>
    </row>
    <row r="40" spans="2:31" ht="24.95" hidden="1" customHeight="1" x14ac:dyDescent="0.25">
      <c r="B40" s="30">
        <f t="shared" si="2"/>
        <v>26</v>
      </c>
      <c r="C40" s="31"/>
      <c r="D40" s="31"/>
      <c r="E40" s="31"/>
      <c r="F40" s="31"/>
      <c r="G40" s="32"/>
      <c r="H40" s="33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5"/>
      <c r="X40" s="36" cm="1">
        <f t="array" ref="X40">SUMPRODUCT(--ISNUMBER(H40:W40), --($H$14:$W$14&lt;&gt;"LH"), --($H$14:$W$14&lt;&gt;"SH"))</f>
        <v>0</v>
      </c>
      <c r="Y40" s="34">
        <f t="shared" si="3"/>
        <v>0</v>
      </c>
      <c r="Z40" s="34"/>
      <c r="AA40" s="34">
        <f t="shared" si="4"/>
        <v>0</v>
      </c>
      <c r="AB40" s="34">
        <f t="shared" si="5"/>
        <v>0</v>
      </c>
      <c r="AC40" s="34"/>
      <c r="AD40" s="34">
        <f t="shared" si="6"/>
        <v>0</v>
      </c>
      <c r="AE40" s="37"/>
    </row>
    <row r="41" spans="2:31" ht="24.95" hidden="1" customHeight="1" x14ac:dyDescent="0.25">
      <c r="B41" s="30">
        <f t="shared" si="2"/>
        <v>27</v>
      </c>
      <c r="C41" s="31"/>
      <c r="D41" s="31"/>
      <c r="E41" s="31"/>
      <c r="F41" s="31"/>
      <c r="G41" s="32"/>
      <c r="H41" s="33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6" cm="1">
        <f t="array" ref="X41">SUMPRODUCT(--ISNUMBER(H41:W41), --($H$14:$W$14&lt;&gt;"LH"), --($H$14:$W$14&lt;&gt;"SH"))</f>
        <v>0</v>
      </c>
      <c r="Y41" s="34">
        <f t="shared" si="3"/>
        <v>0</v>
      </c>
      <c r="Z41" s="34"/>
      <c r="AA41" s="34">
        <f t="shared" si="4"/>
        <v>0</v>
      </c>
      <c r="AB41" s="34">
        <f t="shared" si="5"/>
        <v>0</v>
      </c>
      <c r="AC41" s="34"/>
      <c r="AD41" s="34">
        <f t="shared" si="6"/>
        <v>0</v>
      </c>
      <c r="AE41" s="37"/>
    </row>
    <row r="42" spans="2:31" ht="24.95" hidden="1" customHeight="1" x14ac:dyDescent="0.25">
      <c r="B42" s="30">
        <f t="shared" si="2"/>
        <v>28</v>
      </c>
      <c r="C42" s="31"/>
      <c r="D42" s="31"/>
      <c r="E42" s="31"/>
      <c r="F42" s="31"/>
      <c r="G42" s="32"/>
      <c r="H42" s="33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5"/>
      <c r="X42" s="36" cm="1">
        <f t="array" ref="X42">SUMPRODUCT(--ISNUMBER(H42:W42), --($H$14:$W$14&lt;&gt;"LH"), --($H$14:$W$14&lt;&gt;"SH"))</f>
        <v>0</v>
      </c>
      <c r="Y42" s="34">
        <f t="shared" si="3"/>
        <v>0</v>
      </c>
      <c r="Z42" s="34"/>
      <c r="AA42" s="34">
        <f t="shared" si="4"/>
        <v>0</v>
      </c>
      <c r="AB42" s="34">
        <f t="shared" si="5"/>
        <v>0</v>
      </c>
      <c r="AC42" s="34"/>
      <c r="AD42" s="34">
        <f t="shared" si="6"/>
        <v>0</v>
      </c>
      <c r="AE42" s="37"/>
    </row>
    <row r="43" spans="2:31" ht="24.95" hidden="1" customHeight="1" x14ac:dyDescent="0.25">
      <c r="B43" s="30">
        <f t="shared" si="2"/>
        <v>29</v>
      </c>
      <c r="C43" s="31"/>
      <c r="D43" s="31"/>
      <c r="E43" s="31"/>
      <c r="F43" s="31"/>
      <c r="G43" s="32"/>
      <c r="H43" s="3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6" cm="1">
        <f t="array" ref="X43">SUMPRODUCT(--ISNUMBER(H43:W43), --($H$14:$W$14&lt;&gt;"LH"), --($H$14:$W$14&lt;&gt;"SH"))</f>
        <v>0</v>
      </c>
      <c r="Y43" s="34">
        <f t="shared" si="3"/>
        <v>0</v>
      </c>
      <c r="Z43" s="34"/>
      <c r="AA43" s="34">
        <f t="shared" si="4"/>
        <v>0</v>
      </c>
      <c r="AB43" s="34">
        <f t="shared" si="5"/>
        <v>0</v>
      </c>
      <c r="AC43" s="34"/>
      <c r="AD43" s="34">
        <f t="shared" si="6"/>
        <v>0</v>
      </c>
      <c r="AE43" s="37"/>
    </row>
    <row r="44" spans="2:31" ht="24.95" hidden="1" customHeight="1" x14ac:dyDescent="0.25">
      <c r="B44" s="30">
        <f t="shared" si="2"/>
        <v>30</v>
      </c>
      <c r="C44" s="31"/>
      <c r="D44" s="31"/>
      <c r="E44" s="31"/>
      <c r="F44" s="31"/>
      <c r="G44" s="32"/>
      <c r="H44" s="33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6" cm="1">
        <f t="array" ref="X44">SUMPRODUCT(--ISNUMBER(H44:W44), --($H$14:$W$14&lt;&gt;"LH"), --($H$14:$W$14&lt;&gt;"SH"))</f>
        <v>0</v>
      </c>
      <c r="Y44" s="34">
        <f t="shared" si="3"/>
        <v>0</v>
      </c>
      <c r="Z44" s="34"/>
      <c r="AA44" s="34">
        <f t="shared" si="4"/>
        <v>0</v>
      </c>
      <c r="AB44" s="34">
        <f t="shared" si="5"/>
        <v>0</v>
      </c>
      <c r="AC44" s="34"/>
      <c r="AD44" s="34">
        <f t="shared" si="6"/>
        <v>0</v>
      </c>
      <c r="AE44" s="37"/>
    </row>
    <row r="45" spans="2:31" ht="24.95" hidden="1" customHeight="1" x14ac:dyDescent="0.25">
      <c r="B45" s="30">
        <f t="shared" si="2"/>
        <v>31</v>
      </c>
      <c r="C45" s="31"/>
      <c r="D45" s="31"/>
      <c r="E45" s="31"/>
      <c r="F45" s="31"/>
      <c r="G45" s="32"/>
      <c r="H45" s="33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6" cm="1">
        <f t="array" ref="X45">SUMPRODUCT(--ISNUMBER(H45:W45), --($H$14:$W$14&lt;&gt;"LH"), --($H$14:$W$14&lt;&gt;"SH"))</f>
        <v>0</v>
      </c>
      <c r="Y45" s="34">
        <f t="shared" si="3"/>
        <v>0</v>
      </c>
      <c r="Z45" s="34"/>
      <c r="AA45" s="34">
        <f t="shared" si="4"/>
        <v>0</v>
      </c>
      <c r="AB45" s="34">
        <f t="shared" si="5"/>
        <v>0</v>
      </c>
      <c r="AC45" s="34"/>
      <c r="AD45" s="34">
        <f t="shared" si="6"/>
        <v>0</v>
      </c>
      <c r="AE45" s="37"/>
    </row>
    <row r="46" spans="2:31" ht="24.95" hidden="1" customHeight="1" x14ac:dyDescent="0.25">
      <c r="B46" s="30">
        <f t="shared" si="2"/>
        <v>32</v>
      </c>
      <c r="C46" s="31"/>
      <c r="D46" s="31"/>
      <c r="E46" s="31"/>
      <c r="F46" s="31"/>
      <c r="G46" s="32"/>
      <c r="H46" s="33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5"/>
      <c r="X46" s="36" cm="1">
        <f t="array" ref="X46">SUMPRODUCT(--ISNUMBER(H46:W46), --($H$14:$W$14&lt;&gt;"LH"), --($H$14:$W$14&lt;&gt;"SH"))</f>
        <v>0</v>
      </c>
      <c r="Y46" s="34">
        <f t="shared" si="3"/>
        <v>0</v>
      </c>
      <c r="Z46" s="34"/>
      <c r="AA46" s="34">
        <f t="shared" si="4"/>
        <v>0</v>
      </c>
      <c r="AB46" s="34">
        <f t="shared" si="5"/>
        <v>0</v>
      </c>
      <c r="AC46" s="34"/>
      <c r="AD46" s="34">
        <f t="shared" si="6"/>
        <v>0</v>
      </c>
      <c r="AE46" s="37"/>
    </row>
    <row r="47" spans="2:31" ht="22.5" customHeight="1" thickBot="1" x14ac:dyDescent="0.3">
      <c r="B47" s="34"/>
      <c r="C47" s="31"/>
      <c r="D47" s="31"/>
      <c r="E47" s="106" t="s">
        <v>30</v>
      </c>
      <c r="F47" s="107"/>
      <c r="G47" s="9">
        <f>SUM(H47:W47)</f>
        <v>30</v>
      </c>
      <c r="H47" s="38">
        <f t="shared" ref="H47:W47" si="7">COUNTA(H15:H46)-COUNTIF(H15:H46,"A")-COUNTIF(H15:H46,"D")-COUNTIF(H15:H46,"L")</f>
        <v>2</v>
      </c>
      <c r="I47" s="39">
        <f t="shared" si="7"/>
        <v>2</v>
      </c>
      <c r="J47" s="39">
        <f t="shared" si="7"/>
        <v>2</v>
      </c>
      <c r="K47" s="39">
        <f t="shared" si="7"/>
        <v>2</v>
      </c>
      <c r="L47" s="39">
        <f t="shared" si="7"/>
        <v>2</v>
      </c>
      <c r="M47" s="39">
        <f t="shared" si="7"/>
        <v>2</v>
      </c>
      <c r="N47" s="39">
        <f t="shared" si="7"/>
        <v>2</v>
      </c>
      <c r="O47" s="39">
        <f t="shared" si="7"/>
        <v>2</v>
      </c>
      <c r="P47" s="39">
        <f t="shared" si="7"/>
        <v>2</v>
      </c>
      <c r="Q47" s="39">
        <f t="shared" si="7"/>
        <v>2</v>
      </c>
      <c r="R47" s="39">
        <f t="shared" si="7"/>
        <v>2</v>
      </c>
      <c r="S47" s="39">
        <f t="shared" si="7"/>
        <v>2</v>
      </c>
      <c r="T47" s="39">
        <f t="shared" si="7"/>
        <v>2</v>
      </c>
      <c r="U47" s="39">
        <f t="shared" si="7"/>
        <v>2</v>
      </c>
      <c r="V47" s="39">
        <f t="shared" si="7"/>
        <v>2</v>
      </c>
      <c r="W47" s="40">
        <f t="shared" si="7"/>
        <v>0</v>
      </c>
      <c r="X47" s="41">
        <f t="shared" ref="X47:AE47" si="8">SUM(X15:X46)</f>
        <v>30</v>
      </c>
      <c r="Y47" s="42">
        <f t="shared" si="8"/>
        <v>240</v>
      </c>
      <c r="Z47" s="42">
        <f t="shared" si="8"/>
        <v>0</v>
      </c>
      <c r="AA47" s="42">
        <f t="shared" si="8"/>
        <v>0</v>
      </c>
      <c r="AB47" s="42">
        <f t="shared" si="8"/>
        <v>0</v>
      </c>
      <c r="AC47" s="42">
        <f t="shared" si="8"/>
        <v>0</v>
      </c>
      <c r="AD47" s="42">
        <f t="shared" si="8"/>
        <v>0</v>
      </c>
      <c r="AE47" s="42">
        <f t="shared" si="8"/>
        <v>30</v>
      </c>
    </row>
    <row r="49" spans="2:31" ht="15.75" x14ac:dyDescent="0.25">
      <c r="B49" s="43" t="s">
        <v>31</v>
      </c>
      <c r="H49" s="118" t="s">
        <v>32</v>
      </c>
      <c r="I49" s="118"/>
      <c r="J49" s="118"/>
      <c r="K49" s="118"/>
      <c r="R49" s="118" t="s">
        <v>33</v>
      </c>
      <c r="S49" s="118"/>
      <c r="T49" s="118"/>
      <c r="U49" s="118"/>
      <c r="Z49" s="44"/>
      <c r="AA49" s="45" t="s">
        <v>34</v>
      </c>
      <c r="AB49" s="46"/>
      <c r="AC49" s="47"/>
      <c r="AD49" s="48"/>
      <c r="AE49" s="44"/>
    </row>
    <row r="50" spans="2:31" ht="15.75" x14ac:dyDescent="0.25">
      <c r="U50" s="49"/>
      <c r="Z50" s="48"/>
      <c r="AA50" s="50" t="s">
        <v>35</v>
      </c>
      <c r="AB50" s="51"/>
      <c r="AC50" s="52"/>
      <c r="AD50" s="48"/>
      <c r="AE50" s="49"/>
    </row>
    <row r="51" spans="2:31" ht="15.75" x14ac:dyDescent="0.25">
      <c r="U51" s="49"/>
      <c r="Z51" s="48"/>
      <c r="AA51" s="50" t="s">
        <v>36</v>
      </c>
      <c r="AB51" s="51"/>
      <c r="AC51" s="52"/>
      <c r="AD51" s="48"/>
      <c r="AE51" s="49"/>
    </row>
    <row r="52" spans="2:31" ht="15.75" x14ac:dyDescent="0.25">
      <c r="B52" s="119" t="s">
        <v>291</v>
      </c>
      <c r="C52" s="119"/>
      <c r="D52" s="119"/>
      <c r="E52" s="53"/>
      <c r="F52" s="53"/>
      <c r="G52" s="53"/>
      <c r="H52" s="119" t="s">
        <v>292</v>
      </c>
      <c r="I52" s="119"/>
      <c r="J52" s="119"/>
      <c r="K52" s="119"/>
      <c r="L52" s="119"/>
      <c r="M52" s="119"/>
      <c r="N52" s="119"/>
      <c r="O52" s="54"/>
      <c r="P52" s="54"/>
      <c r="Q52" s="54"/>
      <c r="R52" s="119" t="s">
        <v>293</v>
      </c>
      <c r="S52" s="119"/>
      <c r="T52" s="119"/>
      <c r="U52" s="119"/>
      <c r="V52" s="119"/>
      <c r="W52" s="119"/>
      <c r="X52" s="119"/>
      <c r="Z52" s="48"/>
      <c r="AA52" s="50" t="s">
        <v>37</v>
      </c>
      <c r="AB52" s="51"/>
      <c r="AC52" s="52"/>
      <c r="AD52" s="48"/>
      <c r="AE52" s="49"/>
    </row>
    <row r="53" spans="2:31" ht="15.75" customHeight="1" x14ac:dyDescent="0.25">
      <c r="B53" s="116" t="s">
        <v>25</v>
      </c>
      <c r="C53" s="116"/>
      <c r="D53" s="116"/>
      <c r="H53" s="117" t="s">
        <v>38</v>
      </c>
      <c r="I53" s="117"/>
      <c r="J53" s="117"/>
      <c r="K53" s="117"/>
      <c r="L53" s="117"/>
      <c r="M53" s="117"/>
      <c r="N53" s="117"/>
      <c r="O53" s="10"/>
      <c r="P53" s="10"/>
      <c r="Q53" s="10"/>
      <c r="R53" s="117" t="s">
        <v>39</v>
      </c>
      <c r="S53" s="117"/>
      <c r="T53" s="117"/>
      <c r="U53" s="117"/>
      <c r="V53" s="117"/>
      <c r="W53" s="117"/>
      <c r="X53" s="117"/>
      <c r="Z53" s="48"/>
      <c r="AA53" s="50" t="s">
        <v>40</v>
      </c>
      <c r="AB53" s="50"/>
      <c r="AC53" s="48"/>
      <c r="AD53" s="48"/>
      <c r="AE53" s="49"/>
    </row>
    <row r="54" spans="2:31" ht="15.75" x14ac:dyDescent="0.25">
      <c r="U54" s="49"/>
      <c r="Z54" s="48"/>
      <c r="AA54" s="50" t="s">
        <v>41</v>
      </c>
      <c r="AB54" s="51"/>
      <c r="AC54" s="52"/>
      <c r="AD54" s="48"/>
      <c r="AE54" s="49"/>
    </row>
    <row r="55" spans="2:31" ht="15.75" x14ac:dyDescent="0.25">
      <c r="U55" s="49"/>
      <c r="Z55" s="48"/>
      <c r="AA55" s="50" t="s">
        <v>42</v>
      </c>
      <c r="AB55" s="51"/>
      <c r="AC55" s="52"/>
      <c r="AD55" s="48"/>
      <c r="AE55" s="49"/>
    </row>
    <row r="56" spans="2:31" ht="15.75" x14ac:dyDescent="0.25">
      <c r="B56" s="55"/>
      <c r="C56" s="55"/>
      <c r="D56" s="55"/>
      <c r="E56" s="55"/>
      <c r="F56" s="55"/>
      <c r="G56" s="55"/>
      <c r="H56" s="55"/>
      <c r="I56" s="49"/>
      <c r="J56" s="49"/>
      <c r="K56" s="55"/>
      <c r="L56" s="55"/>
      <c r="M56" s="49"/>
      <c r="U56" s="50"/>
      <c r="Z56" s="48"/>
      <c r="AA56" s="50" t="s">
        <v>43</v>
      </c>
      <c r="AB56" s="50"/>
      <c r="AC56" s="48"/>
      <c r="AD56" s="48"/>
      <c r="AE56" s="49"/>
    </row>
    <row r="57" spans="2:31" ht="15.75" x14ac:dyDescent="0.25">
      <c r="B57" s="55" t="s">
        <v>44</v>
      </c>
      <c r="C57" s="45"/>
      <c r="D57" s="45"/>
      <c r="E57" s="45"/>
      <c r="F57" s="45"/>
      <c r="G57" s="45"/>
      <c r="H57" s="45"/>
      <c r="I57" s="45"/>
      <c r="J57" s="50"/>
      <c r="K57" s="50"/>
      <c r="L57" s="45"/>
      <c r="M57" s="45"/>
      <c r="N57" s="49"/>
      <c r="O57" s="55"/>
      <c r="U57" s="49"/>
      <c r="Z57" s="48"/>
      <c r="AA57" s="50" t="s">
        <v>45</v>
      </c>
      <c r="AB57" s="50"/>
      <c r="AC57" s="48"/>
      <c r="AD57" s="48"/>
      <c r="AE57" s="49"/>
    </row>
    <row r="58" spans="2:31" ht="15.75" x14ac:dyDescent="0.25">
      <c r="B58" s="49"/>
      <c r="C58" s="45"/>
      <c r="D58" s="50"/>
      <c r="E58" s="50"/>
      <c r="F58" s="50"/>
      <c r="G58" s="50"/>
      <c r="H58" s="50"/>
      <c r="I58" s="50"/>
      <c r="J58" s="50"/>
      <c r="K58" s="50"/>
      <c r="L58" s="45"/>
      <c r="M58" s="45"/>
      <c r="N58" s="49"/>
      <c r="O58" s="55"/>
      <c r="U58" s="49"/>
      <c r="Z58" s="48"/>
      <c r="AA58" s="50" t="s">
        <v>46</v>
      </c>
      <c r="AB58" s="50"/>
      <c r="AC58" s="48"/>
      <c r="AD58" s="48"/>
      <c r="AE58" s="49"/>
    </row>
    <row r="59" spans="2:31" ht="15.75" x14ac:dyDescent="0.25">
      <c r="B59" s="49"/>
      <c r="C59" s="45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49"/>
      <c r="O59" s="55"/>
      <c r="U59" s="49"/>
      <c r="Z59" s="48"/>
      <c r="AA59" s="56" t="s">
        <v>47</v>
      </c>
      <c r="AB59" s="57"/>
      <c r="AC59" s="58"/>
      <c r="AD59" s="48"/>
      <c r="AE59" s="49"/>
    </row>
    <row r="60" spans="2:31" ht="15.75" x14ac:dyDescent="0.25">
      <c r="U60" s="49"/>
      <c r="Z60" s="58"/>
      <c r="AA60" s="56" t="s">
        <v>48</v>
      </c>
      <c r="AB60" s="57"/>
      <c r="AC60" s="58"/>
      <c r="AD60" s="58"/>
      <c r="AE60" s="59"/>
    </row>
    <row r="61" spans="2:31" ht="15.75" x14ac:dyDescent="0.25">
      <c r="B61" s="43"/>
      <c r="C61" s="43"/>
      <c r="D61" s="43"/>
      <c r="E61" s="43"/>
      <c r="F61" s="43"/>
      <c r="G61" s="43"/>
      <c r="H61" s="43"/>
      <c r="I61" s="43"/>
      <c r="U61" s="60"/>
      <c r="Z61" s="58"/>
      <c r="AD61" s="58"/>
      <c r="AE61" s="59"/>
    </row>
    <row r="62" spans="2:31" ht="15.75" x14ac:dyDescent="0.25">
      <c r="U62" s="60"/>
      <c r="Z62" s="58"/>
      <c r="AD62" s="58"/>
      <c r="AE62" s="59"/>
    </row>
  </sheetData>
  <mergeCells count="29">
    <mergeCell ref="B53:D53"/>
    <mergeCell ref="H53:N53"/>
    <mergeCell ref="R53:X53"/>
    <mergeCell ref="E47:F47"/>
    <mergeCell ref="H49:K49"/>
    <mergeCell ref="R49:U49"/>
    <mergeCell ref="B52:D52"/>
    <mergeCell ref="H52:N52"/>
    <mergeCell ref="R52:X52"/>
    <mergeCell ref="B12:B14"/>
    <mergeCell ref="C12:C14"/>
    <mergeCell ref="D12:D14"/>
    <mergeCell ref="E12:E14"/>
    <mergeCell ref="F12:F14"/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</mergeCells>
  <conditionalFormatting sqref="C15:C20">
    <cfRule type="cellIs" dxfId="29" priority="6" stopIfTrue="1" operator="equal">
      <formula>0</formula>
    </cfRule>
  </conditionalFormatting>
  <conditionalFormatting sqref="D15:G16">
    <cfRule type="containsBlanks" dxfId="28" priority="7">
      <formula>LEN(TRIM(D15))=0</formula>
    </cfRule>
  </conditionalFormatting>
  <conditionalFormatting sqref="D18:G20">
    <cfRule type="containsBlanks" dxfId="27" priority="1">
      <formula>LEN(TRIM(D18))=0</formula>
    </cfRule>
  </conditionalFormatting>
  <conditionalFormatting sqref="H12:W12">
    <cfRule type="expression" priority="37">
      <formula>TEXT($D$9+COLUMN()-COLUMN($H$12),"ddd")="Sun"</formula>
    </cfRule>
    <cfRule type="expression" dxfId="26" priority="38">
      <formula>TEXT($D$9+COLUMN()-COLUMN($H$12),"ddd")="Sun"</formula>
    </cfRule>
  </conditionalFormatting>
  <conditionalFormatting sqref="H14:W14">
    <cfRule type="containsBlanks" dxfId="25" priority="15">
      <formula>LEN(TRIM(H14))=0</formula>
    </cfRule>
    <cfRule type="expression" dxfId="24" priority="16">
      <formula>EXACT(H14, "S")</formula>
    </cfRule>
    <cfRule type="expression" dxfId="23" priority="17">
      <formula>EXACT(H14, "R")</formula>
    </cfRule>
    <cfRule type="expression" dxfId="22" priority="18">
      <formula>EXACT(H14, "T")</formula>
    </cfRule>
    <cfRule type="containsText" dxfId="21" priority="19" operator="containsText" text="SH">
      <formula>NOT(ISERROR(SEARCH("SH",H14)))</formula>
    </cfRule>
    <cfRule type="expression" dxfId="20" priority="20">
      <formula>EXACT(H14, "RS")</formula>
    </cfRule>
    <cfRule type="containsText" dxfId="19" priority="21" operator="containsText" text="LH">
      <formula>NOT(ISERROR(SEARCH("LH",H14)))</formula>
    </cfRule>
    <cfRule type="expression" dxfId="18" priority="22">
      <formula>EXACT(H14, "LR")</formula>
    </cfRule>
    <cfRule type="expression" dxfId="17" priority="23">
      <formula>EXACT(H14, "L")</formula>
    </cfRule>
    <cfRule type="expression" dxfId="16" priority="24">
      <formula>EXACT(H14, "D")</formula>
    </cfRule>
    <cfRule type="expression" dxfId="15" priority="25">
      <formula>EXACT(H14, "A")</formula>
    </cfRule>
  </conditionalFormatting>
  <conditionalFormatting sqref="H15:W15">
    <cfRule type="containsBlanks" dxfId="14" priority="26">
      <formula>LEN(TRIM(H15))=0</formula>
    </cfRule>
  </conditionalFormatting>
  <conditionalFormatting sqref="H15:W46">
    <cfRule type="containsText" dxfId="13" priority="12" operator="containsText" text="12">
      <formula>NOT(ISERROR(SEARCH("12",H15)))</formula>
    </cfRule>
    <cfRule type="expression" dxfId="12" priority="13">
      <formula>H$14="LH"</formula>
    </cfRule>
    <cfRule type="expression" dxfId="11" priority="14" stopIfTrue="1">
      <formula>H$14="SH"</formula>
    </cfRule>
    <cfRule type="expression" dxfId="10" priority="27">
      <formula>EXACT(H15, "S")</formula>
    </cfRule>
    <cfRule type="expression" dxfId="9" priority="28">
      <formula>EXACT(H15, "R")</formula>
    </cfRule>
    <cfRule type="expression" dxfId="8" priority="29">
      <formula>EXACT(H15, "T")</formula>
    </cfRule>
    <cfRule type="containsText" dxfId="7" priority="30" operator="containsText" text="SH">
      <formula>NOT(ISERROR(SEARCH("SH",H15)))</formula>
    </cfRule>
    <cfRule type="expression" dxfId="6" priority="31">
      <formula>EXACT(H15, "RS")</formula>
    </cfRule>
    <cfRule type="containsText" dxfId="5" priority="32" operator="containsText" text="RH">
      <formula>NOT(ISERROR(SEARCH("RH",H15)))</formula>
    </cfRule>
    <cfRule type="expression" dxfId="4" priority="33">
      <formula>EXACT(H15, "LR")</formula>
    </cfRule>
    <cfRule type="expression" dxfId="3" priority="34">
      <formula>EXACT(H15, "L")</formula>
    </cfRule>
    <cfRule type="expression" dxfId="2" priority="35">
      <formula>EXACT(H15, "D")</formula>
    </cfRule>
    <cfRule type="expression" dxfId="1" priority="36">
      <formula>EXACT(H15, "A")</formula>
    </cfRule>
  </conditionalFormatting>
  <conditionalFormatting sqref="H15:AE16 D17:AE17 H18:AE20 C21:AE46">
    <cfRule type="containsBlanks" dxfId="0" priority="39">
      <formula>LEN(TRIM(C15))=0</formula>
    </cfRule>
  </conditionalFormatting>
  <dataValidations count="1">
    <dataValidation type="list" allowBlank="1" showInputMessage="1" showErrorMessage="1" sqref="H14:W14" xr:uid="{09EA8C78-9CB6-40FB-8CDA-A5470CC7FE85}">
      <formula1>"SH, LH"</formula1>
    </dataValidation>
  </dataValidations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Baclaran</vt:lpstr>
      <vt:lpstr>Edsa</vt:lpstr>
      <vt:lpstr>Libertad</vt:lpstr>
      <vt:lpstr>Gil puyat</vt:lpstr>
      <vt:lpstr>Vito cruz</vt:lpstr>
      <vt:lpstr>Quirino</vt:lpstr>
      <vt:lpstr>Pedro gil</vt:lpstr>
      <vt:lpstr>Unated Nation</vt:lpstr>
      <vt:lpstr>Central</vt:lpstr>
      <vt:lpstr>Carriedo</vt:lpstr>
      <vt:lpstr>D,jose</vt:lpstr>
      <vt:lpstr>Bambang</vt:lpstr>
      <vt:lpstr>Tayuman</vt:lpstr>
      <vt:lpstr>Blumintritt</vt:lpstr>
      <vt:lpstr>Abad santos</vt:lpstr>
      <vt:lpstr>Rpapa</vt:lpstr>
      <vt:lpstr>5th ave</vt:lpstr>
      <vt:lpstr>Balintawak</vt:lpstr>
      <vt:lpstr>Monumento</vt:lpstr>
      <vt:lpstr>Fpj</vt:lpstr>
      <vt:lpstr>Supervisor</vt:lpstr>
      <vt:lpstr>Carriedo!Print_Area</vt:lpstr>
      <vt:lpstr>'Gil puyat'!Print_Area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LRT STATION</dc:creator>
  <cp:lastModifiedBy>Teph Baay</cp:lastModifiedBy>
  <cp:lastPrinted>2025-10-09T04:30:23Z</cp:lastPrinted>
  <dcterms:created xsi:type="dcterms:W3CDTF">2025-10-04T21:43:24Z</dcterms:created>
  <dcterms:modified xsi:type="dcterms:W3CDTF">2025-10-25T01:32:17Z</dcterms:modified>
</cp:coreProperties>
</file>