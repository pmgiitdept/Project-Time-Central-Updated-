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0423230f5a281/Documents/"/>
    </mc:Choice>
  </mc:AlternateContent>
  <xr:revisionPtr revIDLastSave="834" documentId="8_{0F88C256-4BAB-44B4-861F-C2E2F076531A}" xr6:coauthVersionLast="47" xr6:coauthVersionMax="47" xr10:uidLastSave="{ED54B430-7B64-4C3D-BD7E-F336DC383CF2}"/>
  <bookViews>
    <workbookView xWindow="-120" yWindow="-120" windowWidth="29040" windowHeight="15720" xr2:uid="{05BC1890-48E5-4253-B660-38D036B8E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I47" i="1"/>
  <c r="AD47" i="1"/>
  <c r="AE41" i="1"/>
  <c r="AE42" i="1"/>
  <c r="AE43" i="1"/>
  <c r="AE44" i="1"/>
  <c r="AE45" i="1"/>
  <c r="AE46" i="1"/>
  <c r="AC41" i="1"/>
  <c r="AC42" i="1"/>
  <c r="AC43" i="1"/>
  <c r="AC44" i="1"/>
  <c r="AC45" i="1"/>
  <c r="AC46" i="1"/>
  <c r="Y41" i="1"/>
  <c r="Z41" i="1" s="1"/>
  <c r="AB41" i="1" s="1"/>
  <c r="Y42" i="1"/>
  <c r="Z42" i="1" s="1"/>
  <c r="AB42" i="1" s="1"/>
  <c r="Y43" i="1"/>
  <c r="Z43" i="1" s="1"/>
  <c r="AB43" i="1" s="1"/>
  <c r="Y44" i="1"/>
  <c r="Z44" i="1" s="1"/>
  <c r="AB44" i="1" s="1"/>
  <c r="Y45" i="1"/>
  <c r="Z45" i="1" s="1"/>
  <c r="AB45" i="1" s="1"/>
  <c r="Y46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14" i="1"/>
  <c r="AA47" i="1"/>
  <c r="AF47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I12" i="1"/>
  <c r="Y15" i="1"/>
  <c r="Z15" i="1" s="1"/>
  <c r="AB15" i="1" s="1"/>
  <c r="Y16" i="1"/>
  <c r="Z16" i="1" s="1"/>
  <c r="AB16" i="1" s="1"/>
  <c r="Y17" i="1"/>
  <c r="Z17" i="1" s="1"/>
  <c r="AB17" i="1" s="1"/>
  <c r="Y18" i="1"/>
  <c r="Z18" i="1" s="1"/>
  <c r="AB18" i="1" s="1"/>
  <c r="Y19" i="1"/>
  <c r="Z19" i="1" s="1"/>
  <c r="AB19" i="1" s="1"/>
  <c r="Y20" i="1"/>
  <c r="Z20" i="1" s="1"/>
  <c r="AB20" i="1" s="1"/>
  <c r="Y21" i="1"/>
  <c r="Z21" i="1" s="1"/>
  <c r="AB21" i="1" s="1"/>
  <c r="Y22" i="1"/>
  <c r="Z22" i="1" s="1"/>
  <c r="AB22" i="1" s="1"/>
  <c r="Y23" i="1"/>
  <c r="Z23" i="1" s="1"/>
  <c r="AB23" i="1" s="1"/>
  <c r="Y24" i="1"/>
  <c r="Z24" i="1" s="1"/>
  <c r="AB24" i="1" s="1"/>
  <c r="Y25" i="1"/>
  <c r="Z25" i="1" s="1"/>
  <c r="AB25" i="1" s="1"/>
  <c r="Y26" i="1"/>
  <c r="Z26" i="1" s="1"/>
  <c r="AB26" i="1" s="1"/>
  <c r="Y27" i="1"/>
  <c r="Z27" i="1" s="1"/>
  <c r="AB27" i="1" s="1"/>
  <c r="Y28" i="1"/>
  <c r="Z28" i="1" s="1"/>
  <c r="AB28" i="1" s="1"/>
  <c r="Y29" i="1"/>
  <c r="Z29" i="1" s="1"/>
  <c r="AB29" i="1" s="1"/>
  <c r="Y30" i="1"/>
  <c r="Z30" i="1" s="1"/>
  <c r="AB30" i="1" s="1"/>
  <c r="Y31" i="1"/>
  <c r="Z31" i="1" s="1"/>
  <c r="AB31" i="1" s="1"/>
  <c r="Y32" i="1"/>
  <c r="Z32" i="1" s="1"/>
  <c r="AB32" i="1" s="1"/>
  <c r="Y33" i="1"/>
  <c r="Z33" i="1" s="1"/>
  <c r="AB33" i="1" s="1"/>
  <c r="Y34" i="1"/>
  <c r="Z34" i="1" s="1"/>
  <c r="AB34" i="1" s="1"/>
  <c r="Y35" i="1"/>
  <c r="Z35" i="1" s="1"/>
  <c r="AB35" i="1" s="1"/>
  <c r="Y36" i="1"/>
  <c r="Z36" i="1" s="1"/>
  <c r="AB36" i="1" s="1"/>
  <c r="Y37" i="1"/>
  <c r="Z37" i="1" s="1"/>
  <c r="AB37" i="1" s="1"/>
  <c r="Y38" i="1"/>
  <c r="Z38" i="1" s="1"/>
  <c r="AB38" i="1" s="1"/>
  <c r="Y39" i="1"/>
  <c r="Z39" i="1" s="1"/>
  <c r="AB39" i="1" s="1"/>
  <c r="Y40" i="1"/>
  <c r="Z40" i="1" s="1"/>
  <c r="AB40" i="1" s="1"/>
  <c r="Y14" i="1"/>
  <c r="Z14" i="1" s="1"/>
  <c r="AB14" i="1" s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I13" i="1"/>
  <c r="Z46" i="1" l="1"/>
  <c r="Z47" i="1" s="1"/>
  <c r="AE47" i="1"/>
  <c r="AC47" i="1"/>
  <c r="Y47" i="1"/>
  <c r="AB46" i="1" l="1"/>
  <c r="AB47" i="1" s="1"/>
</calcChain>
</file>

<file path=xl/sharedStrings.xml><?xml version="1.0" encoding="utf-8"?>
<sst xmlns="http://schemas.openxmlformats.org/spreadsheetml/2006/main" count="95" uniqueCount="78">
  <si>
    <t>PROFESSIONAL MAINTENANCE GROUP, INC.</t>
  </si>
  <si>
    <t xml:space="preserve">ATTENDANCE SUMMARY FORM </t>
  </si>
  <si>
    <t>OPS-FRM009-01-02172023</t>
  </si>
  <si>
    <t>PROJECT:</t>
  </si>
  <si>
    <t>APMC PARKING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</si>
  <si>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</si>
  <si>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</si>
  <si>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</si>
  <si>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</si>
  <si>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</si>
  <si>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</si>
  <si>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</si>
  <si>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</si>
  <si>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</si>
  <si>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</si>
  <si>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</si>
  <si>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</si>
  <si>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</si>
  <si>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EMPLOYEE NO.</t>
  </si>
  <si>
    <t>AREA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</si>
  <si>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</si>
  <si>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</si>
  <si>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</si>
  <si>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</si>
  <si>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</si>
  <si>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</si>
  <si>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</si>
  <si>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RH+ = REGULAR HOLIDAY (12)</t>
  </si>
  <si>
    <t>RS = RESIGNED</t>
  </si>
  <si>
    <t>SH = SPECIAL HOLIDAY (8)</t>
  </si>
  <si>
    <t>SH+ = SPECIAL HOLIDAY (12)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</si>
  <si>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</si>
  <si>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</si>
  <si>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</si>
  <si>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</si>
  <si>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</si>
  <si>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</si>
  <si>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</si>
  <si>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</si>
  <si>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</si>
  <si>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OT does not include regular and special non-working holidays (only extra activities).</t>
  </si>
  <si>
    <t>Figure does not include regular and special non-working holidays.</t>
  </si>
  <si>
    <t>Late/Undertime does not include absences/LOA/suspensions.</t>
  </si>
  <si>
    <t>Additionally, Date format are automatic, please follow the format input as dd/mm/yyyy.</t>
  </si>
  <si>
    <t>CHECKED BY:</t>
  </si>
  <si>
    <t>NOTED BY:</t>
  </si>
  <si>
    <t>Reg Holiday</t>
  </si>
  <si>
    <t>Unwork</t>
  </si>
  <si>
    <t>Night Diff</t>
  </si>
  <si>
    <t>SHIFT</t>
  </si>
  <si>
    <t>TIME</t>
  </si>
  <si>
    <t>DILINOGUN, ABASH M.</t>
  </si>
  <si>
    <t>VICTORIA LG</t>
  </si>
  <si>
    <t>PAREDES, SAMARLITA M.</t>
  </si>
  <si>
    <t>BISTRO UG</t>
  </si>
  <si>
    <t>CARONA, CHARO L.</t>
  </si>
  <si>
    <t>UBAG, MARY ROSE L.</t>
  </si>
  <si>
    <t>FOODCHOICES 2ND</t>
  </si>
  <si>
    <t>FONTAMILLAS, RUEN F.</t>
  </si>
  <si>
    <t>STA ANA, KATHLEEN D.</t>
  </si>
  <si>
    <t>CABANA, JESUS C.</t>
  </si>
  <si>
    <t>SKIN STATION 3RD</t>
  </si>
  <si>
    <t xml:space="preserve">ABANCIA, IMELDA ROWENA C. </t>
  </si>
  <si>
    <t>CRAVE 4TH</t>
  </si>
  <si>
    <t>DUPITAS, MANILYNE I.</t>
  </si>
  <si>
    <t>MAGARU, WILMAR T.</t>
  </si>
  <si>
    <t>AGUSTIN RIZALDY S.</t>
  </si>
  <si>
    <t>STOCKMAN</t>
  </si>
  <si>
    <t>URIAN, GARY M.</t>
  </si>
  <si>
    <t>DOR</t>
  </si>
  <si>
    <t xml:space="preserve">COSTALES, ROBINSON A. </t>
  </si>
  <si>
    <t xml:space="preserve">BRIONES, LENELYN R. </t>
  </si>
  <si>
    <t>ALFARO, MYCHERINE T.</t>
  </si>
  <si>
    <t>ARIZABAL, ANTHONY M.</t>
  </si>
  <si>
    <t>BUERE, MARICEL S.</t>
  </si>
  <si>
    <t>ROSALES, MINERVA</t>
  </si>
  <si>
    <t>MADELO, JONATHAN L.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</si>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</sst>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2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12"/>
      <color theme="1"/>
      <name val="Leelawadee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5" fillId="3" borderId="1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4" fillId="2" borderId="20" xfId="0" applyFont="1" applyFill="1" applyBorder="1"/>
    <xf numFmtId="0" fontId="4" fillId="2" borderId="29" xfId="0" applyFont="1" applyFill="1" applyBorder="1" applyAlignment="1">
      <alignment horizontal="left" vertical="center" wrapText="1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32" xfId="0" applyFont="1" applyFill="1" applyBorder="1" applyAlignment="1">
      <alignment horizontal="center" vertical="center"/>
    </xf>
    <xf numFmtId="0" fontId="4" fillId="2" borderId="0" xfId="0" applyFont="1" applyFill="1"/>
    <xf numFmtId="0" fontId="5" fillId="2" borderId="3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1" fillId="2" borderId="0" xfId="0" applyFont="1" applyFill="1"/>
    <xf numFmtId="0" fontId="4" fillId="2" borderId="0" xfId="0" applyFont="1" applyFill="1" applyAlignment="1">
      <alignment vertical="center"/>
    </xf>
    <xf numFmtId="164" fontId="5" fillId="2" borderId="9" xfId="0" applyNumberFormat="1" applyFont="1" applyFill="1" applyBorder="1" applyAlignment="1">
      <alignment horizontal="center"/>
    </xf>
    <xf numFmtId="0" fontId="5" fillId="2" borderId="29" xfId="0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164" fontId="5" fillId="2" borderId="16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3" tint="0.89996032593768116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</xdr:colOff>
      <xdr:row>1</xdr:row>
      <xdr:rowOff>1681</xdr:rowOff>
    </xdr:from>
    <xdr:to>
      <xdr:col>3</xdr:col>
      <xdr:colOff>398929</xdr:colOff>
      <xdr:row>6</xdr:row>
      <xdr:rowOff>0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9648" y="205788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394606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7494782" y="1008529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2</a:t>
          </a:r>
        </a:p>
      </xdr:txBody>
    </xdr:sp>
    <xdr:clientData/>
  </xdr:oneCellAnchor>
  <xdr:oneCellAnchor>
    <xdr:from>
      <xdr:col>29</xdr:col>
      <xdr:colOff>464081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4961131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66E72F-D418-4771-A208-AC1E748ED7C6}">
  <we:reference id="wa200005271" version="2.6.1.0" store="en-GB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sheetPr>
    <pageSetUpPr fitToPage="1"/>
  </sheetPr>
  <dimension ref="B1:AF62"/>
  <sheetViews>
    <sheetView tabSelected="1" zoomScale="85" zoomScaleNormal="85" workbookViewId="0">
      <selection activeCell="AI18" sqref="AI18"/>
    </sheetView>
  </sheetViews>
  <sheetFormatPr defaultRowHeight="15" x14ac:dyDescent="0.25"/>
  <cols>
    <col min="1" max="1" width="9.140625" style="7"/>
    <col min="2" max="2" width="6.5703125" style="7" customWidth="1"/>
    <col min="3" max="3" width="9.140625" style="7"/>
    <col min="4" max="4" width="21.85546875" style="7" customWidth="1"/>
    <col min="5" max="5" width="12" style="7" customWidth="1"/>
    <col min="6" max="6" width="21.140625" style="7" customWidth="1"/>
    <col min="7" max="7" width="14.140625" style="7" customWidth="1"/>
    <col min="8" max="8" width="12" style="7" customWidth="1"/>
    <col min="9" max="24" width="5.7109375" style="7" customWidth="1"/>
    <col min="25" max="25" width="10.140625" style="7" bestFit="1" customWidth="1"/>
    <col min="26" max="26" width="9.7109375" style="7" bestFit="1" customWidth="1"/>
    <col min="27" max="27" width="17.7109375" style="7" bestFit="1" customWidth="1"/>
    <col min="28" max="29" width="9.140625" style="7"/>
    <col min="30" max="30" width="13.42578125" style="7" customWidth="1"/>
    <col min="31" max="16384" width="9.140625" style="7"/>
  </cols>
  <sheetData>
    <row r="1" spans="2:32" ht="15.75" thickBot="1" x14ac:dyDescent="0.3"/>
    <row r="2" spans="2:32" ht="15.75" x14ac:dyDescent="0.25">
      <c r="B2" s="12"/>
      <c r="C2" s="13"/>
      <c r="D2" s="58" t="s">
        <v>0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60"/>
    </row>
    <row r="3" spans="2:32" ht="15.75" x14ac:dyDescent="0.25">
      <c r="B3" s="14"/>
      <c r="C3" s="15"/>
      <c r="D3" s="61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3"/>
    </row>
    <row r="4" spans="2:32" ht="15.75" x14ac:dyDescent="0.25">
      <c r="B4" s="14"/>
      <c r="C4" s="15"/>
      <c r="D4" s="64" t="s">
        <v>1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6"/>
    </row>
    <row r="5" spans="2:32" ht="15.75" x14ac:dyDescent="0.25">
      <c r="B5" s="14"/>
      <c r="C5" s="15"/>
      <c r="D5" s="61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3"/>
    </row>
    <row r="6" spans="2:32" ht="16.5" customHeight="1" thickBot="1" x14ac:dyDescent="0.3">
      <c r="B6" s="16"/>
      <c r="C6" s="17"/>
      <c r="D6" s="78" t="s">
        <v>2</v>
      </c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80"/>
    </row>
    <row r="7" spans="2:32" x14ac:dyDescent="0.25">
      <c r="H7" s="51"/>
      <c r="I7" s="51"/>
    </row>
    <row r="8" spans="2:32" ht="15" customHeight="1" x14ac:dyDescent="0.25">
      <c r="B8" s="81" t="s">
        <v>3</v>
      </c>
      <c r="C8" s="81"/>
      <c r="D8" s="71" t="s">
        <v>4</v>
      </c>
      <c r="E8" s="72"/>
      <c r="F8" s="72"/>
      <c r="G8" s="73"/>
      <c r="H8" s="18"/>
      <c r="I8" s="18"/>
      <c r="J8" s="52"/>
      <c r="K8" s="18"/>
      <c r="L8" s="18"/>
      <c r="M8" s="18"/>
    </row>
    <row r="9" spans="2:32" ht="15" customHeight="1" x14ac:dyDescent="0.25">
      <c r="D9" s="19" t="s">
        <v>5</v>
      </c>
      <c r="E9" s="84">
        <v>45916</v>
      </c>
      <c r="F9" s="84"/>
      <c r="G9" s="47"/>
      <c r="H9" s="50"/>
      <c r="I9" s="20"/>
      <c r="J9" s="20"/>
      <c r="K9" s="20"/>
      <c r="L9" s="20"/>
    </row>
    <row r="10" spans="2:32" ht="15" customHeight="1" x14ac:dyDescent="0.25">
      <c r="B10" s="82"/>
      <c r="C10" s="82"/>
      <c r="D10" s="19" t="s">
        <v>6</v>
      </c>
      <c r="E10" s="83">
        <v>45930</v>
      </c>
      <c r="F10" s="83"/>
      <c r="H10" s="49"/>
      <c r="I10" s="20"/>
      <c r="J10" s="20"/>
      <c r="K10" s="20"/>
      <c r="L10" s="20"/>
    </row>
    <row r="11" spans="2:32" ht="15.75" thickBot="1" x14ac:dyDescent="0.3"/>
    <row r="12" spans="2:32" x14ac:dyDescent="0.25">
      <c r="B12" s="74" t="s">
        <v>7</v>
      </c>
      <c r="C12" s="76" t="s">
        <v>8</v>
      </c>
      <c r="D12" s="85"/>
      <c r="E12" s="76" t="s">
        <v>18</v>
      </c>
      <c r="F12" s="76" t="s">
        <v>19</v>
      </c>
      <c r="G12" s="74" t="s">
        <v>49</v>
      </c>
      <c r="H12" s="76" t="s">
        <v>50</v>
      </c>
      <c r="I12" s="30" t="str">
        <f t="shared" ref="I12:X12" si="0">IF(COLUMN()-COLUMN($I$12)&lt;=$E$10-$E9+1, TEXT($E$9+COLUMN()-COLUMN($I$12),"ddd"), "")</f>
        <v>Tue</v>
      </c>
      <c r="J12" s="31" t="str">
        <f t="shared" si="0"/>
        <v>Wed</v>
      </c>
      <c r="K12" s="31" t="str">
        <f t="shared" si="0"/>
        <v>Thu</v>
      </c>
      <c r="L12" s="31" t="str">
        <f t="shared" si="0"/>
        <v>Fri</v>
      </c>
      <c r="M12" s="31" t="str">
        <f t="shared" si="0"/>
        <v>Sat</v>
      </c>
      <c r="N12" s="31" t="str">
        <f t="shared" si="0"/>
        <v>Sun</v>
      </c>
      <c r="O12" s="31" t="str">
        <f t="shared" si="0"/>
        <v>Mon</v>
      </c>
      <c r="P12" s="31" t="str">
        <f t="shared" si="0"/>
        <v>Tue</v>
      </c>
      <c r="Q12" s="31" t="str">
        <f t="shared" si="0"/>
        <v>Wed</v>
      </c>
      <c r="R12" s="31" t="str">
        <f t="shared" si="0"/>
        <v>Thu</v>
      </c>
      <c r="S12" s="31" t="str">
        <f t="shared" si="0"/>
        <v>Fri</v>
      </c>
      <c r="T12" s="31" t="str">
        <f t="shared" si="0"/>
        <v>Sat</v>
      </c>
      <c r="U12" s="31" t="str">
        <f t="shared" si="0"/>
        <v>Sun</v>
      </c>
      <c r="V12" s="31" t="str">
        <f t="shared" si="0"/>
        <v>Mon</v>
      </c>
      <c r="W12" s="31" t="str">
        <f t="shared" si="0"/>
        <v>Tue</v>
      </c>
      <c r="X12" s="32" t="str">
        <f t="shared" si="0"/>
        <v>Wed</v>
      </c>
      <c r="Y12" s="1" t="s">
        <v>9</v>
      </c>
      <c r="Z12" s="2" t="s">
        <v>9</v>
      </c>
      <c r="AA12" s="2" t="s">
        <v>11</v>
      </c>
      <c r="AB12" s="2" t="s">
        <v>13</v>
      </c>
      <c r="AC12" s="2" t="s">
        <v>14</v>
      </c>
      <c r="AD12" s="2" t="s">
        <v>47</v>
      </c>
      <c r="AE12" s="2" t="s">
        <v>15</v>
      </c>
      <c r="AF12" s="91" t="s">
        <v>48</v>
      </c>
    </row>
    <row r="13" spans="2:32" ht="15.75" thickBot="1" x14ac:dyDescent="0.3">
      <c r="B13" s="75"/>
      <c r="C13" s="77"/>
      <c r="D13" s="86"/>
      <c r="E13" s="77"/>
      <c r="F13" s="77"/>
      <c r="G13" s="75"/>
      <c r="H13" s="77"/>
      <c r="I13" s="33">
        <f t="shared" ref="I13:X13" si="1">IF(COLUMN()-COLUMN($I$13)&lt;=$E$10-$E$9+1, DAY($E$9+COLUMN()-COLUMN($I$13)), "")</f>
        <v>16</v>
      </c>
      <c r="J13" s="34">
        <f t="shared" si="1"/>
        <v>17</v>
      </c>
      <c r="K13" s="34">
        <f t="shared" si="1"/>
        <v>18</v>
      </c>
      <c r="L13" s="34">
        <f t="shared" si="1"/>
        <v>19</v>
      </c>
      <c r="M13" s="34">
        <f t="shared" si="1"/>
        <v>20</v>
      </c>
      <c r="N13" s="34">
        <f t="shared" si="1"/>
        <v>21</v>
      </c>
      <c r="O13" s="34">
        <f t="shared" si="1"/>
        <v>22</v>
      </c>
      <c r="P13" s="34">
        <f t="shared" si="1"/>
        <v>23</v>
      </c>
      <c r="Q13" s="34">
        <f t="shared" si="1"/>
        <v>24</v>
      </c>
      <c r="R13" s="34">
        <f t="shared" si="1"/>
        <v>25</v>
      </c>
      <c r="S13" s="34">
        <f t="shared" si="1"/>
        <v>26</v>
      </c>
      <c r="T13" s="34">
        <f t="shared" si="1"/>
        <v>27</v>
      </c>
      <c r="U13" s="34">
        <f t="shared" si="1"/>
        <v>28</v>
      </c>
      <c r="V13" s="34">
        <f t="shared" si="1"/>
        <v>29</v>
      </c>
      <c r="W13" s="34">
        <f t="shared" si="1"/>
        <v>30</v>
      </c>
      <c r="X13" s="35">
        <f t="shared" si="1"/>
        <v>1</v>
      </c>
      <c r="Y13" s="1" t="s">
        <v>20</v>
      </c>
      <c r="Z13" s="2" t="s">
        <v>10</v>
      </c>
      <c r="AA13" s="2" t="s">
        <v>12</v>
      </c>
      <c r="AB13" s="2" t="s">
        <v>17</v>
      </c>
      <c r="AC13" s="2" t="s">
        <v>16</v>
      </c>
      <c r="AD13" s="2" t="s">
        <v>46</v>
      </c>
      <c r="AE13" s="2" t="s">
        <v>16</v>
      </c>
      <c r="AF13" s="91"/>
    </row>
    <row r="14" spans="2:32" ht="15" customHeight="1" x14ac:dyDescent="0.25">
      <c r="B14" s="21">
        <v>1</v>
      </c>
      <c r="C14" s="87" t="s">
        <v>51</v>
      </c>
      <c r="D14" s="88"/>
      <c r="E14" s="53">
        <v>3742</v>
      </c>
      <c r="F14" s="53" t="s">
        <v>52</v>
      </c>
      <c r="G14" s="54"/>
      <c r="H14" s="53"/>
      <c r="I14" s="36">
        <v>8</v>
      </c>
      <c r="J14" s="36">
        <v>8</v>
      </c>
      <c r="K14" s="36">
        <v>8</v>
      </c>
      <c r="L14" s="36">
        <v>8</v>
      </c>
      <c r="M14" s="36">
        <v>8</v>
      </c>
      <c r="N14" s="36">
        <v>8</v>
      </c>
      <c r="O14" s="36"/>
      <c r="P14" s="36">
        <v>8</v>
      </c>
      <c r="Q14" s="36">
        <v>8</v>
      </c>
      <c r="R14" s="36">
        <v>8</v>
      </c>
      <c r="S14" s="36"/>
      <c r="T14" s="36">
        <v>8</v>
      </c>
      <c r="U14" s="36">
        <v>8</v>
      </c>
      <c r="V14" s="36">
        <v>8</v>
      </c>
      <c r="W14" s="36"/>
      <c r="X14" s="37"/>
      <c r="Y14" s="22">
        <f>COUNT(I14:X14)</f>
        <v>12</v>
      </c>
      <c r="Z14" s="23">
        <f>Y14*8</f>
        <v>96</v>
      </c>
      <c r="AA14" s="23">
        <v>33</v>
      </c>
      <c r="AB14" s="23">
        <f>SUM(I14:X14)-Z14</f>
        <v>0</v>
      </c>
      <c r="AC14" s="23">
        <f>COUNTIF($I14:$X14,"RH")*1+COUNTIF($I14:$X14,"RH+")*1</f>
        <v>0</v>
      </c>
      <c r="AD14" s="23"/>
      <c r="AE14" s="23">
        <f>COUNTIF($I14:$X14,"SH")*1+COUNTIF($I14:$X14,"SH+")*1</f>
        <v>0</v>
      </c>
      <c r="AF14" s="24"/>
    </row>
    <row r="15" spans="2:32" x14ac:dyDescent="0.25">
      <c r="B15" s="21">
        <v>2</v>
      </c>
      <c r="C15" s="87" t="s">
        <v>53</v>
      </c>
      <c r="D15" s="88"/>
      <c r="E15" s="53">
        <v>3731</v>
      </c>
      <c r="F15" s="53" t="s">
        <v>52</v>
      </c>
      <c r="G15" s="54"/>
      <c r="H15" s="53"/>
      <c r="I15" s="36">
        <v>8</v>
      </c>
      <c r="J15" s="36">
        <v>8</v>
      </c>
      <c r="K15" s="36">
        <v>8</v>
      </c>
      <c r="L15" s="36">
        <v>8</v>
      </c>
      <c r="M15" s="36">
        <v>8</v>
      </c>
      <c r="N15" s="36">
        <v>8</v>
      </c>
      <c r="O15" s="36">
        <v>8</v>
      </c>
      <c r="P15" s="36">
        <v>8</v>
      </c>
      <c r="Q15" s="36">
        <v>8</v>
      </c>
      <c r="R15" s="36">
        <v>8</v>
      </c>
      <c r="S15" s="36"/>
      <c r="T15" s="36"/>
      <c r="U15" s="36">
        <v>8</v>
      </c>
      <c r="V15" s="36">
        <v>8</v>
      </c>
      <c r="W15" s="36">
        <v>8</v>
      </c>
      <c r="X15" s="37"/>
      <c r="Y15" s="22">
        <f t="shared" ref="Y15:Y46" si="2">COUNT(I15:X15)</f>
        <v>13</v>
      </c>
      <c r="Z15" s="23">
        <f t="shared" ref="Z15:Z46" si="3">Y15*8</f>
        <v>104</v>
      </c>
      <c r="AA15" s="23">
        <v>30</v>
      </c>
      <c r="AB15" s="23">
        <f t="shared" ref="AB15:AB46" si="4">SUM(I15:X15)-Z15</f>
        <v>0</v>
      </c>
      <c r="AC15" s="23">
        <f t="shared" ref="AC15:AC46" si="5">COUNTIF($I15:$X15,"RH")*1+COUNTIF($I15:$X15,"RH+")*1</f>
        <v>0</v>
      </c>
      <c r="AD15" s="23"/>
      <c r="AE15" s="23">
        <f t="shared" ref="AE15:AE46" si="6">COUNTIF($I15:$X15,"SH")*1+COUNTIF($I15:$X15,"SH+")*1</f>
        <v>0</v>
      </c>
      <c r="AF15" s="24"/>
    </row>
    <row r="16" spans="2:32" ht="15" customHeight="1" x14ac:dyDescent="0.25">
      <c r="B16" s="21">
        <v>3</v>
      </c>
      <c r="C16" s="87" t="s">
        <v>56</v>
      </c>
      <c r="D16" s="88"/>
      <c r="E16" s="53">
        <v>3780</v>
      </c>
      <c r="F16" s="53" t="s">
        <v>54</v>
      </c>
      <c r="G16" s="54"/>
      <c r="H16" s="53"/>
      <c r="I16" s="36">
        <v>8</v>
      </c>
      <c r="J16" s="36"/>
      <c r="K16" s="36">
        <v>8</v>
      </c>
      <c r="L16" s="36">
        <v>8</v>
      </c>
      <c r="M16" s="36"/>
      <c r="N16" s="36"/>
      <c r="O16" s="36"/>
      <c r="P16" s="36">
        <v>8</v>
      </c>
      <c r="Q16" s="36">
        <v>8</v>
      </c>
      <c r="R16" s="36">
        <v>8</v>
      </c>
      <c r="S16" s="36">
        <v>8</v>
      </c>
      <c r="T16" s="36"/>
      <c r="U16" s="36">
        <v>8</v>
      </c>
      <c r="V16" s="36">
        <v>8</v>
      </c>
      <c r="W16" s="36">
        <v>8</v>
      </c>
      <c r="X16" s="37"/>
      <c r="Y16" s="22">
        <f t="shared" si="2"/>
        <v>10</v>
      </c>
      <c r="Z16" s="23">
        <f t="shared" si="3"/>
        <v>80</v>
      </c>
      <c r="AA16" s="23">
        <v>30</v>
      </c>
      <c r="AB16" s="23">
        <f t="shared" si="4"/>
        <v>0</v>
      </c>
      <c r="AC16" s="23">
        <f t="shared" si="5"/>
        <v>0</v>
      </c>
      <c r="AD16" s="23"/>
      <c r="AE16" s="23">
        <f t="shared" si="6"/>
        <v>0</v>
      </c>
      <c r="AF16" s="24"/>
    </row>
    <row r="17" spans="2:32" x14ac:dyDescent="0.25">
      <c r="B17" s="21">
        <v>4</v>
      </c>
      <c r="C17" s="87" t="s">
        <v>55</v>
      </c>
      <c r="D17" s="88"/>
      <c r="E17" s="53">
        <v>2834</v>
      </c>
      <c r="F17" s="53" t="s">
        <v>54</v>
      </c>
      <c r="G17" s="54"/>
      <c r="H17" s="53"/>
      <c r="I17" s="36"/>
      <c r="J17" s="36"/>
      <c r="K17" s="36"/>
      <c r="L17" s="36"/>
      <c r="M17" s="36"/>
      <c r="N17" s="36">
        <v>8</v>
      </c>
      <c r="O17" s="36">
        <v>8</v>
      </c>
      <c r="P17" s="36"/>
      <c r="Q17" s="36">
        <v>8</v>
      </c>
      <c r="R17" s="36">
        <v>8</v>
      </c>
      <c r="S17" s="36">
        <v>8</v>
      </c>
      <c r="T17" s="36">
        <v>8</v>
      </c>
      <c r="U17" s="36">
        <v>8</v>
      </c>
      <c r="V17" s="36">
        <v>8</v>
      </c>
      <c r="W17" s="36">
        <v>8</v>
      </c>
      <c r="X17" s="37"/>
      <c r="Y17" s="22">
        <f t="shared" si="2"/>
        <v>9</v>
      </c>
      <c r="Z17" s="23">
        <f t="shared" si="3"/>
        <v>72</v>
      </c>
      <c r="AA17" s="23">
        <v>30</v>
      </c>
      <c r="AB17" s="23">
        <f t="shared" si="4"/>
        <v>0</v>
      </c>
      <c r="AC17" s="23">
        <f t="shared" si="5"/>
        <v>0</v>
      </c>
      <c r="AD17" s="23"/>
      <c r="AE17" s="23">
        <f t="shared" si="6"/>
        <v>0</v>
      </c>
      <c r="AF17" s="24"/>
    </row>
    <row r="18" spans="2:32" ht="15" customHeight="1" x14ac:dyDescent="0.25">
      <c r="B18" s="21">
        <v>5</v>
      </c>
      <c r="C18" s="87" t="s">
        <v>58</v>
      </c>
      <c r="D18" s="88"/>
      <c r="E18" s="53">
        <v>3745</v>
      </c>
      <c r="F18" s="53" t="s">
        <v>57</v>
      </c>
      <c r="G18" s="54"/>
      <c r="H18" s="53"/>
      <c r="I18" s="36">
        <v>8</v>
      </c>
      <c r="J18" s="36">
        <v>8</v>
      </c>
      <c r="K18" s="36">
        <v>8</v>
      </c>
      <c r="L18" s="36">
        <v>8</v>
      </c>
      <c r="M18" s="36">
        <v>8</v>
      </c>
      <c r="N18" s="36">
        <v>8</v>
      </c>
      <c r="O18" s="36">
        <v>8</v>
      </c>
      <c r="P18" s="36">
        <v>8</v>
      </c>
      <c r="Q18" s="36"/>
      <c r="R18" s="36"/>
      <c r="S18" s="36">
        <v>8</v>
      </c>
      <c r="T18" s="36">
        <v>8</v>
      </c>
      <c r="U18" s="36">
        <v>8</v>
      </c>
      <c r="V18" s="36">
        <v>8</v>
      </c>
      <c r="W18" s="36">
        <v>8</v>
      </c>
      <c r="X18" s="37"/>
      <c r="Y18" s="22">
        <f t="shared" si="2"/>
        <v>13</v>
      </c>
      <c r="Z18" s="23">
        <f t="shared" si="3"/>
        <v>104</v>
      </c>
      <c r="AA18" s="23">
        <v>36</v>
      </c>
      <c r="AB18" s="23">
        <f t="shared" si="4"/>
        <v>0</v>
      </c>
      <c r="AC18" s="23">
        <f t="shared" si="5"/>
        <v>0</v>
      </c>
      <c r="AD18" s="23"/>
      <c r="AE18" s="23">
        <f t="shared" si="6"/>
        <v>0</v>
      </c>
      <c r="AF18" s="24"/>
    </row>
    <row r="19" spans="2:32" x14ac:dyDescent="0.25">
      <c r="B19" s="21">
        <v>6</v>
      </c>
      <c r="C19" s="87" t="s">
        <v>59</v>
      </c>
      <c r="D19" s="88"/>
      <c r="E19" s="53">
        <v>3778</v>
      </c>
      <c r="F19" s="53" t="s">
        <v>57</v>
      </c>
      <c r="G19" s="54"/>
      <c r="H19" s="53"/>
      <c r="I19" s="36">
        <v>8</v>
      </c>
      <c r="J19" s="36">
        <v>8</v>
      </c>
      <c r="K19" s="36">
        <v>8</v>
      </c>
      <c r="L19" s="36">
        <v>8</v>
      </c>
      <c r="M19" s="36">
        <v>8</v>
      </c>
      <c r="N19" s="36"/>
      <c r="O19" s="36"/>
      <c r="P19" s="36"/>
      <c r="Q19" s="36"/>
      <c r="R19" s="36"/>
      <c r="S19" s="36">
        <v>8</v>
      </c>
      <c r="T19" s="36">
        <v>8</v>
      </c>
      <c r="U19" s="36">
        <v>8</v>
      </c>
      <c r="V19" s="36">
        <v>8</v>
      </c>
      <c r="W19" s="36">
        <v>8</v>
      </c>
      <c r="X19" s="37"/>
      <c r="Y19" s="22">
        <f t="shared" si="2"/>
        <v>10</v>
      </c>
      <c r="Z19" s="23">
        <f t="shared" si="3"/>
        <v>80</v>
      </c>
      <c r="AA19" s="23">
        <v>30</v>
      </c>
      <c r="AB19" s="23">
        <f t="shared" si="4"/>
        <v>0</v>
      </c>
      <c r="AC19" s="23">
        <f t="shared" si="5"/>
        <v>0</v>
      </c>
      <c r="AD19" s="23"/>
      <c r="AE19" s="23">
        <f t="shared" si="6"/>
        <v>0</v>
      </c>
      <c r="AF19" s="24"/>
    </row>
    <row r="20" spans="2:32" ht="15" customHeight="1" x14ac:dyDescent="0.25">
      <c r="B20" s="21">
        <v>7</v>
      </c>
      <c r="C20" s="87" t="s">
        <v>60</v>
      </c>
      <c r="D20" s="88"/>
      <c r="E20" s="53">
        <v>3753</v>
      </c>
      <c r="F20" s="53" t="s">
        <v>61</v>
      </c>
      <c r="G20" s="54"/>
      <c r="H20" s="53"/>
      <c r="I20" s="36">
        <v>8</v>
      </c>
      <c r="J20" s="36"/>
      <c r="K20" s="36">
        <v>8</v>
      </c>
      <c r="L20" s="36">
        <v>8</v>
      </c>
      <c r="M20" s="36"/>
      <c r="N20" s="36">
        <v>8</v>
      </c>
      <c r="O20" s="36">
        <v>8</v>
      </c>
      <c r="P20" s="36">
        <v>8</v>
      </c>
      <c r="Q20" s="36">
        <v>8</v>
      </c>
      <c r="R20" s="36">
        <v>8</v>
      </c>
      <c r="S20" s="36">
        <v>8</v>
      </c>
      <c r="T20" s="36">
        <v>8</v>
      </c>
      <c r="U20" s="36">
        <v>8</v>
      </c>
      <c r="V20" s="36">
        <v>8</v>
      </c>
      <c r="W20" s="36">
        <v>8</v>
      </c>
      <c r="X20" s="37"/>
      <c r="Y20" s="22">
        <f t="shared" si="2"/>
        <v>13</v>
      </c>
      <c r="Z20" s="23">
        <f t="shared" si="3"/>
        <v>104</v>
      </c>
      <c r="AA20" s="23">
        <v>39</v>
      </c>
      <c r="AB20" s="23">
        <f t="shared" si="4"/>
        <v>0</v>
      </c>
      <c r="AC20" s="23">
        <f t="shared" si="5"/>
        <v>0</v>
      </c>
      <c r="AD20" s="23"/>
      <c r="AE20" s="23">
        <f t="shared" si="6"/>
        <v>0</v>
      </c>
      <c r="AF20" s="24"/>
    </row>
    <row r="21" spans="2:32" x14ac:dyDescent="0.25">
      <c r="B21" s="21">
        <v>8</v>
      </c>
      <c r="C21" s="87" t="s">
        <v>62</v>
      </c>
      <c r="D21" s="88"/>
      <c r="E21" s="53">
        <v>3953</v>
      </c>
      <c r="F21" s="53" t="s">
        <v>61</v>
      </c>
      <c r="G21" s="54"/>
      <c r="H21" s="53"/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/>
      <c r="T21" s="36" t="s">
        <v>77</v>
      </c>
      <c r="U21" s="36"/>
      <c r="V21" s="36"/>
      <c r="W21" s="36"/>
      <c r="X21" s="37"/>
      <c r="Y21" s="22">
        <f t="shared" si="2"/>
        <v>10</v>
      </c>
      <c r="Z21" s="23">
        <f t="shared" si="3"/>
        <v>80</v>
      </c>
      <c r="AA21" s="23">
        <v>30</v>
      </c>
      <c r="AB21" s="23">
        <f t="shared" si="4"/>
        <v>0</v>
      </c>
      <c r="AC21" s="23">
        <f t="shared" si="5"/>
        <v>0</v>
      </c>
      <c r="AD21" s="23"/>
      <c r="AE21" s="23">
        <f t="shared" si="6"/>
        <v>0</v>
      </c>
      <c r="AF21" s="24"/>
    </row>
    <row r="22" spans="2:32" ht="15" customHeight="1" x14ac:dyDescent="0.25">
      <c r="B22" s="21">
        <v>9</v>
      </c>
      <c r="C22" s="87" t="s">
        <v>65</v>
      </c>
      <c r="D22" s="88"/>
      <c r="E22" s="53">
        <v>3762</v>
      </c>
      <c r="F22" s="53" t="s">
        <v>63</v>
      </c>
      <c r="G22" s="54"/>
      <c r="H22" s="53"/>
      <c r="I22" s="36">
        <v>8</v>
      </c>
      <c r="J22" s="36">
        <v>8</v>
      </c>
      <c r="K22" s="36">
        <v>8</v>
      </c>
      <c r="L22" s="36">
        <v>8</v>
      </c>
      <c r="M22" s="36">
        <v>8</v>
      </c>
      <c r="N22" s="36">
        <v>8</v>
      </c>
      <c r="O22" s="36">
        <v>8</v>
      </c>
      <c r="P22" s="36">
        <v>8</v>
      </c>
      <c r="Q22" s="36">
        <v>8</v>
      </c>
      <c r="R22" s="36">
        <v>8</v>
      </c>
      <c r="S22" s="36"/>
      <c r="T22" s="36"/>
      <c r="U22" s="36"/>
      <c r="V22" s="36">
        <v>8</v>
      </c>
      <c r="W22" s="36">
        <v>8</v>
      </c>
      <c r="X22" s="37"/>
      <c r="Y22" s="22">
        <f t="shared" si="2"/>
        <v>12</v>
      </c>
      <c r="Z22" s="23">
        <f t="shared" si="3"/>
        <v>96</v>
      </c>
      <c r="AA22" s="23">
        <v>36</v>
      </c>
      <c r="AB22" s="23">
        <f t="shared" si="4"/>
        <v>0</v>
      </c>
      <c r="AC22" s="23">
        <f t="shared" si="5"/>
        <v>0</v>
      </c>
      <c r="AD22" s="23"/>
      <c r="AE22" s="23">
        <f t="shared" si="6"/>
        <v>0</v>
      </c>
      <c r="AF22" s="24"/>
    </row>
    <row r="23" spans="2:32" x14ac:dyDescent="0.25">
      <c r="B23" s="21">
        <v>10</v>
      </c>
      <c r="C23" s="87" t="s">
        <v>64</v>
      </c>
      <c r="D23" s="88"/>
      <c r="E23" s="53">
        <v>3757</v>
      </c>
      <c r="F23" s="53" t="s">
        <v>63</v>
      </c>
      <c r="G23" s="54"/>
      <c r="H23" s="53"/>
      <c r="I23" s="36">
        <v>8</v>
      </c>
      <c r="J23" s="36">
        <v>8</v>
      </c>
      <c r="K23" s="36">
        <v>8</v>
      </c>
      <c r="L23" s="36">
        <v>8</v>
      </c>
      <c r="M23" s="36">
        <v>8</v>
      </c>
      <c r="N23" s="36">
        <v>8</v>
      </c>
      <c r="O23" s="36">
        <v>8</v>
      </c>
      <c r="P23" s="36">
        <v>8</v>
      </c>
      <c r="Q23" s="36"/>
      <c r="R23" s="36"/>
      <c r="S23" s="36">
        <v>8</v>
      </c>
      <c r="T23" s="36">
        <v>8</v>
      </c>
      <c r="U23" s="36"/>
      <c r="V23" s="36"/>
      <c r="W23" s="36"/>
      <c r="X23" s="37"/>
      <c r="Y23" s="22">
        <f t="shared" si="2"/>
        <v>10</v>
      </c>
      <c r="Z23" s="23">
        <f t="shared" si="3"/>
        <v>80</v>
      </c>
      <c r="AA23" s="23">
        <v>28</v>
      </c>
      <c r="AB23" s="23">
        <f t="shared" si="4"/>
        <v>0</v>
      </c>
      <c r="AC23" s="23">
        <f t="shared" si="5"/>
        <v>0</v>
      </c>
      <c r="AD23" s="23"/>
      <c r="AE23" s="23">
        <f t="shared" si="6"/>
        <v>0</v>
      </c>
      <c r="AF23" s="24"/>
    </row>
    <row r="24" spans="2:32" ht="15" customHeight="1" x14ac:dyDescent="0.25">
      <c r="B24" s="21">
        <v>11</v>
      </c>
      <c r="C24" s="87" t="s">
        <v>66</v>
      </c>
      <c r="D24" s="88"/>
      <c r="E24" s="53">
        <v>3747</v>
      </c>
      <c r="F24" s="53" t="s">
        <v>67</v>
      </c>
      <c r="G24" s="54"/>
      <c r="H24" s="53"/>
      <c r="I24" s="36"/>
      <c r="J24" s="36">
        <v>8</v>
      </c>
      <c r="K24" s="36"/>
      <c r="L24" s="36"/>
      <c r="M24" s="36">
        <v>8</v>
      </c>
      <c r="N24" s="36">
        <v>8</v>
      </c>
      <c r="O24" s="36">
        <v>8</v>
      </c>
      <c r="P24" s="36"/>
      <c r="Q24" s="36">
        <v>8</v>
      </c>
      <c r="R24" s="36"/>
      <c r="S24" s="36"/>
      <c r="T24" s="36">
        <v>8</v>
      </c>
      <c r="U24" s="36">
        <v>8</v>
      </c>
      <c r="V24" s="36">
        <v>8</v>
      </c>
      <c r="W24" s="36"/>
      <c r="X24" s="37"/>
      <c r="Y24" s="22">
        <f t="shared" si="2"/>
        <v>8</v>
      </c>
      <c r="Z24" s="23">
        <f t="shared" si="3"/>
        <v>64</v>
      </c>
      <c r="AA24" s="23">
        <v>32</v>
      </c>
      <c r="AB24" s="23">
        <f t="shared" si="4"/>
        <v>0</v>
      </c>
      <c r="AC24" s="23">
        <f t="shared" si="5"/>
        <v>0</v>
      </c>
      <c r="AD24" s="23"/>
      <c r="AE24" s="23">
        <f t="shared" si="6"/>
        <v>0</v>
      </c>
      <c r="AF24" s="24"/>
    </row>
    <row r="25" spans="2:32" x14ac:dyDescent="0.25">
      <c r="B25" s="21">
        <v>12</v>
      </c>
      <c r="C25" s="87"/>
      <c r="D25" s="88"/>
      <c r="E25" s="53"/>
      <c r="F25" s="53"/>
      <c r="G25" s="54"/>
      <c r="H25" s="53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22">
        <f t="shared" si="2"/>
        <v>0</v>
      </c>
      <c r="Z25" s="23">
        <f t="shared" si="3"/>
        <v>0</v>
      </c>
      <c r="AA25" s="23"/>
      <c r="AB25" s="23">
        <f t="shared" si="4"/>
        <v>0</v>
      </c>
      <c r="AC25" s="23">
        <f t="shared" si="5"/>
        <v>0</v>
      </c>
      <c r="AD25" s="23"/>
      <c r="AE25" s="23">
        <f t="shared" si="6"/>
        <v>0</v>
      </c>
      <c r="AF25" s="24"/>
    </row>
    <row r="26" spans="2:32" ht="15" customHeight="1" x14ac:dyDescent="0.25">
      <c r="B26" s="21">
        <v>13</v>
      </c>
      <c r="C26" s="87" t="s">
        <v>68</v>
      </c>
      <c r="D26" s="88"/>
      <c r="E26" s="53">
        <v>3782</v>
      </c>
      <c r="F26" s="53" t="s">
        <v>69</v>
      </c>
      <c r="G26" s="54"/>
      <c r="H26" s="53"/>
      <c r="I26" s="36"/>
      <c r="J26" s="36">
        <v>8</v>
      </c>
      <c r="K26" s="36"/>
      <c r="L26" s="36"/>
      <c r="M26" s="36">
        <v>8</v>
      </c>
      <c r="N26" s="36">
        <v>8</v>
      </c>
      <c r="O26" s="36">
        <v>8</v>
      </c>
      <c r="P26" s="36"/>
      <c r="Q26" s="36"/>
      <c r="R26" s="36"/>
      <c r="S26" s="36"/>
      <c r="T26" s="36">
        <v>8</v>
      </c>
      <c r="U26" s="36">
        <v>8</v>
      </c>
      <c r="V26" s="36"/>
      <c r="W26" s="36"/>
      <c r="X26" s="37"/>
      <c r="Y26" s="22">
        <f t="shared" si="2"/>
        <v>6</v>
      </c>
      <c r="Z26" s="23">
        <f t="shared" si="3"/>
        <v>48</v>
      </c>
      <c r="AA26" s="23">
        <v>18</v>
      </c>
      <c r="AB26" s="23">
        <f t="shared" si="4"/>
        <v>0</v>
      </c>
      <c r="AC26" s="23">
        <f t="shared" si="5"/>
        <v>0</v>
      </c>
      <c r="AD26" s="23"/>
      <c r="AE26" s="23">
        <f t="shared" si="6"/>
        <v>0</v>
      </c>
      <c r="AF26" s="24"/>
    </row>
    <row r="27" spans="2:32" x14ac:dyDescent="0.25">
      <c r="B27" s="21">
        <v>14</v>
      </c>
      <c r="C27" s="87" t="s">
        <v>70</v>
      </c>
      <c r="D27" s="88"/>
      <c r="E27" s="53">
        <v>3741</v>
      </c>
      <c r="F27" s="53" t="s">
        <v>69</v>
      </c>
      <c r="G27" s="54"/>
      <c r="H27" s="53"/>
      <c r="I27" s="36">
        <v>8</v>
      </c>
      <c r="J27" s="36">
        <v>8</v>
      </c>
      <c r="K27" s="36">
        <v>8</v>
      </c>
      <c r="L27" s="36">
        <v>8</v>
      </c>
      <c r="M27" s="36">
        <v>8</v>
      </c>
      <c r="N27" s="36">
        <v>8</v>
      </c>
      <c r="O27" s="36">
        <v>8</v>
      </c>
      <c r="P27" s="36">
        <v>8</v>
      </c>
      <c r="Q27" s="36"/>
      <c r="R27" s="36">
        <v>8</v>
      </c>
      <c r="S27" s="36">
        <v>8</v>
      </c>
      <c r="T27" s="36">
        <v>8</v>
      </c>
      <c r="U27" s="36"/>
      <c r="V27" s="36"/>
      <c r="W27" s="36">
        <v>8</v>
      </c>
      <c r="X27" s="37"/>
      <c r="Y27" s="22">
        <f t="shared" si="2"/>
        <v>12</v>
      </c>
      <c r="Z27" s="23">
        <f t="shared" si="3"/>
        <v>96</v>
      </c>
      <c r="AA27" s="23">
        <v>43</v>
      </c>
      <c r="AB27" s="23">
        <f t="shared" si="4"/>
        <v>0</v>
      </c>
      <c r="AC27" s="23">
        <f t="shared" si="5"/>
        <v>0</v>
      </c>
      <c r="AD27" s="23"/>
      <c r="AE27" s="23">
        <f t="shared" si="6"/>
        <v>0</v>
      </c>
      <c r="AF27" s="24"/>
    </row>
    <row r="28" spans="2:32" ht="15" customHeight="1" x14ac:dyDescent="0.25">
      <c r="B28" s="21">
        <v>15</v>
      </c>
      <c r="C28" s="87" t="s">
        <v>71</v>
      </c>
      <c r="D28" s="88"/>
      <c r="E28" s="53">
        <v>3182</v>
      </c>
      <c r="F28" s="53" t="s">
        <v>69</v>
      </c>
      <c r="G28" s="54"/>
      <c r="H28" s="53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>
        <v>8</v>
      </c>
      <c r="T28" s="36">
        <v>8</v>
      </c>
      <c r="U28" s="36">
        <v>8</v>
      </c>
      <c r="V28" s="36">
        <v>8</v>
      </c>
      <c r="W28" s="36">
        <v>8</v>
      </c>
      <c r="X28" s="37"/>
      <c r="Y28" s="22">
        <f t="shared" si="2"/>
        <v>5</v>
      </c>
      <c r="Z28" s="23">
        <f t="shared" si="3"/>
        <v>40</v>
      </c>
      <c r="AA28" s="23">
        <v>15</v>
      </c>
      <c r="AB28" s="23">
        <f t="shared" si="4"/>
        <v>0</v>
      </c>
      <c r="AC28" s="23">
        <f t="shared" si="5"/>
        <v>0</v>
      </c>
      <c r="AD28" s="23"/>
      <c r="AE28" s="23">
        <f t="shared" si="6"/>
        <v>0</v>
      </c>
      <c r="AF28" s="24"/>
    </row>
    <row r="29" spans="2:32" x14ac:dyDescent="0.25">
      <c r="B29" s="21">
        <v>16</v>
      </c>
      <c r="C29" s="87" t="s">
        <v>72</v>
      </c>
      <c r="D29" s="88"/>
      <c r="E29" s="53">
        <v>3787</v>
      </c>
      <c r="F29" s="53" t="s">
        <v>69</v>
      </c>
      <c r="G29" s="54"/>
      <c r="H29" s="53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>
        <v>8</v>
      </c>
      <c r="T29" s="36">
        <v>8</v>
      </c>
      <c r="U29" s="36">
        <v>8</v>
      </c>
      <c r="V29" s="36">
        <v>8</v>
      </c>
      <c r="W29" s="36">
        <v>8</v>
      </c>
      <c r="X29" s="37"/>
      <c r="Y29" s="22">
        <f t="shared" si="2"/>
        <v>5</v>
      </c>
      <c r="Z29" s="23">
        <f t="shared" si="3"/>
        <v>40</v>
      </c>
      <c r="AA29" s="23">
        <v>15</v>
      </c>
      <c r="AB29" s="23">
        <f t="shared" si="4"/>
        <v>0</v>
      </c>
      <c r="AC29" s="23">
        <f t="shared" si="5"/>
        <v>0</v>
      </c>
      <c r="AD29" s="23"/>
      <c r="AE29" s="23">
        <f t="shared" si="6"/>
        <v>0</v>
      </c>
      <c r="AF29" s="24"/>
    </row>
    <row r="30" spans="2:32" ht="15" customHeight="1" x14ac:dyDescent="0.25">
      <c r="B30" s="21">
        <v>17</v>
      </c>
      <c r="C30" s="87" t="s">
        <v>73</v>
      </c>
      <c r="D30" s="88"/>
      <c r="E30" s="53">
        <v>3991</v>
      </c>
      <c r="F30" s="53" t="s">
        <v>69</v>
      </c>
      <c r="G30" s="54"/>
      <c r="H30" s="53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>
        <v>8</v>
      </c>
      <c r="T30" s="36">
        <v>8</v>
      </c>
      <c r="U30" s="36"/>
      <c r="V30" s="36"/>
      <c r="W30" s="36"/>
      <c r="X30" s="37"/>
      <c r="Y30" s="22">
        <f t="shared" si="2"/>
        <v>2</v>
      </c>
      <c r="Z30" s="23">
        <f t="shared" si="3"/>
        <v>16</v>
      </c>
      <c r="AA30" s="23">
        <v>6</v>
      </c>
      <c r="AB30" s="23">
        <f t="shared" si="4"/>
        <v>0</v>
      </c>
      <c r="AC30" s="23">
        <f t="shared" si="5"/>
        <v>0</v>
      </c>
      <c r="AD30" s="23"/>
      <c r="AE30" s="23">
        <f t="shared" si="6"/>
        <v>0</v>
      </c>
      <c r="AF30" s="24"/>
    </row>
    <row r="31" spans="2:32" ht="14.25" customHeight="1" x14ac:dyDescent="0.25">
      <c r="B31" s="21">
        <v>18</v>
      </c>
      <c r="C31" s="87" t="s">
        <v>74</v>
      </c>
      <c r="D31" s="88"/>
      <c r="E31" s="53">
        <v>3740</v>
      </c>
      <c r="F31" s="53" t="s">
        <v>69</v>
      </c>
      <c r="G31" s="54"/>
      <c r="H31" s="53"/>
      <c r="I31" s="36">
        <v>8</v>
      </c>
      <c r="J31" s="36"/>
      <c r="K31" s="36"/>
      <c r="L31" s="36">
        <v>8</v>
      </c>
      <c r="M31" s="36"/>
      <c r="N31" s="36">
        <v>8</v>
      </c>
      <c r="O31" s="36">
        <v>8</v>
      </c>
      <c r="P31" s="36">
        <v>8</v>
      </c>
      <c r="Q31" s="36">
        <v>8</v>
      </c>
      <c r="R31" s="36">
        <v>8</v>
      </c>
      <c r="S31" s="36">
        <v>8</v>
      </c>
      <c r="T31" s="36"/>
      <c r="U31" s="36"/>
      <c r="V31" s="36">
        <v>8</v>
      </c>
      <c r="W31" s="36">
        <v>8</v>
      </c>
      <c r="X31" s="37">
        <v>8</v>
      </c>
      <c r="Y31" s="22">
        <f t="shared" si="2"/>
        <v>11</v>
      </c>
      <c r="Z31" s="23">
        <f t="shared" si="3"/>
        <v>88</v>
      </c>
      <c r="AA31" s="23">
        <v>18</v>
      </c>
      <c r="AB31" s="23">
        <f t="shared" si="4"/>
        <v>0</v>
      </c>
      <c r="AC31" s="23">
        <f t="shared" si="5"/>
        <v>0</v>
      </c>
      <c r="AD31" s="23"/>
      <c r="AE31" s="23">
        <f t="shared" si="6"/>
        <v>0</v>
      </c>
      <c r="AF31" s="24"/>
    </row>
    <row r="32" spans="2:32" ht="15" customHeight="1" x14ac:dyDescent="0.25">
      <c r="B32" s="21">
        <v>19</v>
      </c>
      <c r="C32" s="87" t="s">
        <v>75</v>
      </c>
      <c r="D32" s="88"/>
      <c r="E32" s="53">
        <v>3812</v>
      </c>
      <c r="F32" s="53" t="s">
        <v>69</v>
      </c>
      <c r="G32" s="54"/>
      <c r="H32" s="53"/>
      <c r="I32" s="36">
        <v>8</v>
      </c>
      <c r="J32" s="36">
        <v>8</v>
      </c>
      <c r="K32" s="36">
        <v>8</v>
      </c>
      <c r="L32" s="36">
        <v>8</v>
      </c>
      <c r="M32" s="36">
        <v>8</v>
      </c>
      <c r="N32" s="36">
        <v>8</v>
      </c>
      <c r="O32" s="36">
        <v>8</v>
      </c>
      <c r="P32" s="36">
        <v>8</v>
      </c>
      <c r="Q32" s="36">
        <v>8</v>
      </c>
      <c r="R32" s="36">
        <v>8</v>
      </c>
      <c r="S32" s="36">
        <v>8</v>
      </c>
      <c r="T32" s="36"/>
      <c r="U32" s="36"/>
      <c r="V32" s="36"/>
      <c r="W32" s="36"/>
      <c r="X32" s="37"/>
      <c r="Y32" s="22">
        <f t="shared" si="2"/>
        <v>11</v>
      </c>
      <c r="Z32" s="23">
        <f t="shared" si="3"/>
        <v>88</v>
      </c>
      <c r="AA32" s="23">
        <v>30</v>
      </c>
      <c r="AB32" s="23">
        <f t="shared" si="4"/>
        <v>0</v>
      </c>
      <c r="AC32" s="23">
        <f t="shared" si="5"/>
        <v>0</v>
      </c>
      <c r="AD32" s="23"/>
      <c r="AE32" s="23">
        <f t="shared" si="6"/>
        <v>0</v>
      </c>
      <c r="AF32" s="24"/>
    </row>
    <row r="33" spans="2:32" x14ac:dyDescent="0.25">
      <c r="B33" s="21">
        <v>20</v>
      </c>
      <c r="C33" s="87" t="s">
        <v>76</v>
      </c>
      <c r="D33" s="88"/>
      <c r="E33" s="53">
        <v>3760</v>
      </c>
      <c r="F33" s="53" t="s">
        <v>69</v>
      </c>
      <c r="G33" s="54"/>
      <c r="H33" s="53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>
        <v>8</v>
      </c>
      <c r="T33" s="36"/>
      <c r="U33" s="36"/>
      <c r="V33" s="36"/>
      <c r="W33" s="36"/>
      <c r="X33" s="37"/>
      <c r="Y33" s="22">
        <f t="shared" si="2"/>
        <v>1</v>
      </c>
      <c r="Z33" s="23">
        <f t="shared" si="3"/>
        <v>8</v>
      </c>
      <c r="AA33" s="23">
        <v>3</v>
      </c>
      <c r="AB33" s="23">
        <f t="shared" si="4"/>
        <v>0</v>
      </c>
      <c r="AC33" s="23">
        <f t="shared" si="5"/>
        <v>0</v>
      </c>
      <c r="AD33" s="23"/>
      <c r="AE33" s="23">
        <f t="shared" si="6"/>
        <v>0</v>
      </c>
      <c r="AF33" s="24"/>
    </row>
    <row r="34" spans="2:32" ht="15" customHeight="1" x14ac:dyDescent="0.25">
      <c r="B34" s="21">
        <v>21</v>
      </c>
      <c r="C34" s="87" t="s">
        <v>58</v>
      </c>
      <c r="D34" s="88"/>
      <c r="E34" s="53">
        <v>3745</v>
      </c>
      <c r="F34" s="53" t="s">
        <v>69</v>
      </c>
      <c r="G34" s="54"/>
      <c r="H34" s="53"/>
      <c r="I34" s="36"/>
      <c r="J34" s="36"/>
      <c r="K34" s="36"/>
      <c r="L34" s="36"/>
      <c r="M34" s="36"/>
      <c r="N34" s="36"/>
      <c r="O34" s="36"/>
      <c r="P34" s="36">
        <v>8</v>
      </c>
      <c r="Q34" s="36">
        <v>8</v>
      </c>
      <c r="R34" s="36">
        <v>8</v>
      </c>
      <c r="S34" s="36"/>
      <c r="T34" s="36"/>
      <c r="U34" s="36"/>
      <c r="V34" s="36"/>
      <c r="W34" s="36"/>
      <c r="X34" s="37"/>
      <c r="Y34" s="22">
        <f t="shared" si="2"/>
        <v>3</v>
      </c>
      <c r="Z34" s="23">
        <f t="shared" si="3"/>
        <v>24</v>
      </c>
      <c r="AA34" s="23">
        <v>9</v>
      </c>
      <c r="AB34" s="23">
        <f t="shared" si="4"/>
        <v>0</v>
      </c>
      <c r="AC34" s="23">
        <f t="shared" si="5"/>
        <v>0</v>
      </c>
      <c r="AD34" s="23"/>
      <c r="AE34" s="23">
        <f t="shared" si="6"/>
        <v>0</v>
      </c>
      <c r="AF34" s="24"/>
    </row>
    <row r="35" spans="2:32" x14ac:dyDescent="0.25">
      <c r="B35" s="21">
        <v>22</v>
      </c>
      <c r="C35" s="87"/>
      <c r="D35" s="88"/>
      <c r="E35" s="53"/>
      <c r="F35" s="53"/>
      <c r="G35" s="54"/>
      <c r="H35" s="53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7"/>
      <c r="Y35" s="22">
        <f t="shared" si="2"/>
        <v>0</v>
      </c>
      <c r="Z35" s="23">
        <f t="shared" si="3"/>
        <v>0</v>
      </c>
      <c r="AA35" s="23"/>
      <c r="AB35" s="23">
        <f t="shared" si="4"/>
        <v>0</v>
      </c>
      <c r="AC35" s="23">
        <f t="shared" si="5"/>
        <v>0</v>
      </c>
      <c r="AD35" s="23"/>
      <c r="AE35" s="23">
        <f t="shared" si="6"/>
        <v>0</v>
      </c>
      <c r="AF35" s="24"/>
    </row>
    <row r="36" spans="2:32" ht="15" customHeight="1" x14ac:dyDescent="0.25">
      <c r="B36" s="21">
        <v>23</v>
      </c>
      <c r="C36" s="87"/>
      <c r="D36" s="88"/>
      <c r="E36" s="53"/>
      <c r="F36" s="53"/>
      <c r="G36" s="54"/>
      <c r="H36" s="53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7"/>
      <c r="Y36" s="22">
        <f t="shared" si="2"/>
        <v>0</v>
      </c>
      <c r="Z36" s="23">
        <f t="shared" si="3"/>
        <v>0</v>
      </c>
      <c r="AA36" s="23"/>
      <c r="AB36" s="23">
        <f t="shared" si="4"/>
        <v>0</v>
      </c>
      <c r="AC36" s="23">
        <f t="shared" si="5"/>
        <v>0</v>
      </c>
      <c r="AD36" s="23"/>
      <c r="AE36" s="23">
        <f t="shared" si="6"/>
        <v>0</v>
      </c>
      <c r="AF36" s="24"/>
    </row>
    <row r="37" spans="2:32" x14ac:dyDescent="0.25">
      <c r="B37" s="21">
        <v>24</v>
      </c>
      <c r="C37" s="87"/>
      <c r="D37" s="88"/>
      <c r="E37" s="53"/>
      <c r="F37" s="53"/>
      <c r="G37" s="54"/>
      <c r="H37" s="53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7"/>
      <c r="Y37" s="22">
        <f t="shared" si="2"/>
        <v>0</v>
      </c>
      <c r="Z37" s="23">
        <f t="shared" si="3"/>
        <v>0</v>
      </c>
      <c r="AA37" s="23"/>
      <c r="AB37" s="23">
        <f t="shared" si="4"/>
        <v>0</v>
      </c>
      <c r="AC37" s="23">
        <f t="shared" si="5"/>
        <v>0</v>
      </c>
      <c r="AD37" s="23"/>
      <c r="AE37" s="23">
        <f t="shared" si="6"/>
        <v>0</v>
      </c>
      <c r="AF37" s="24"/>
    </row>
    <row r="38" spans="2:32" ht="15" customHeight="1" x14ac:dyDescent="0.25">
      <c r="B38" s="21">
        <v>25</v>
      </c>
      <c r="C38" s="87"/>
      <c r="D38" s="88"/>
      <c r="E38" s="53"/>
      <c r="F38" s="53"/>
      <c r="G38" s="54"/>
      <c r="H38" s="53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7"/>
      <c r="Y38" s="22">
        <f t="shared" si="2"/>
        <v>0</v>
      </c>
      <c r="Z38" s="23">
        <f t="shared" si="3"/>
        <v>0</v>
      </c>
      <c r="AA38" s="23"/>
      <c r="AB38" s="23">
        <f t="shared" si="4"/>
        <v>0</v>
      </c>
      <c r="AC38" s="23">
        <f t="shared" si="5"/>
        <v>0</v>
      </c>
      <c r="AD38" s="23"/>
      <c r="AE38" s="23">
        <f t="shared" si="6"/>
        <v>0</v>
      </c>
      <c r="AF38" s="24"/>
    </row>
    <row r="39" spans="2:32" x14ac:dyDescent="0.25">
      <c r="B39" s="21">
        <v>26</v>
      </c>
      <c r="C39" s="87"/>
      <c r="D39" s="88"/>
      <c r="E39" s="53"/>
      <c r="F39" s="53"/>
      <c r="G39" s="54"/>
      <c r="H39" s="53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7"/>
      <c r="Y39" s="22">
        <f t="shared" si="2"/>
        <v>0</v>
      </c>
      <c r="Z39" s="23">
        <f t="shared" si="3"/>
        <v>0</v>
      </c>
      <c r="AA39" s="23"/>
      <c r="AB39" s="23">
        <f t="shared" si="4"/>
        <v>0</v>
      </c>
      <c r="AC39" s="23">
        <f t="shared" si="5"/>
        <v>0</v>
      </c>
      <c r="AD39" s="23"/>
      <c r="AE39" s="23">
        <f t="shared" si="6"/>
        <v>0</v>
      </c>
      <c r="AF39" s="24"/>
    </row>
    <row r="40" spans="2:32" ht="15" customHeight="1" x14ac:dyDescent="0.25">
      <c r="B40" s="21">
        <v>27</v>
      </c>
      <c r="C40" s="87"/>
      <c r="D40" s="88"/>
      <c r="E40" s="53"/>
      <c r="F40" s="53"/>
      <c r="G40" s="54"/>
      <c r="H40" s="53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7"/>
      <c r="Y40" s="22">
        <f t="shared" si="2"/>
        <v>0</v>
      </c>
      <c r="Z40" s="23">
        <f t="shared" si="3"/>
        <v>0</v>
      </c>
      <c r="AA40" s="23"/>
      <c r="AB40" s="23">
        <f t="shared" si="4"/>
        <v>0</v>
      </c>
      <c r="AC40" s="23">
        <f t="shared" si="5"/>
        <v>0</v>
      </c>
      <c r="AD40" s="23"/>
      <c r="AE40" s="23">
        <f t="shared" si="6"/>
        <v>0</v>
      </c>
      <c r="AF40" s="24"/>
    </row>
    <row r="41" spans="2:32" ht="15" customHeight="1" x14ac:dyDescent="0.25">
      <c r="B41" s="21">
        <v>28</v>
      </c>
      <c r="C41" s="55"/>
      <c r="D41" s="56"/>
      <c r="E41" s="55"/>
      <c r="F41" s="55"/>
      <c r="G41" s="54"/>
      <c r="H41" s="53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7"/>
      <c r="Y41" s="22">
        <f t="shared" si="2"/>
        <v>0</v>
      </c>
      <c r="Z41" s="23">
        <f t="shared" si="3"/>
        <v>0</v>
      </c>
      <c r="AA41" s="23"/>
      <c r="AB41" s="23">
        <f t="shared" si="4"/>
        <v>0</v>
      </c>
      <c r="AC41" s="23">
        <f t="shared" si="5"/>
        <v>0</v>
      </c>
      <c r="AD41" s="23"/>
      <c r="AE41" s="23">
        <f t="shared" si="6"/>
        <v>0</v>
      </c>
      <c r="AF41" s="25"/>
    </row>
    <row r="42" spans="2:32" ht="15" customHeight="1" x14ac:dyDescent="0.25">
      <c r="B42" s="21">
        <v>29</v>
      </c>
      <c r="C42" s="55"/>
      <c r="D42" s="56"/>
      <c r="E42" s="55"/>
      <c r="F42" s="55"/>
      <c r="G42" s="54"/>
      <c r="H42" s="53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7"/>
      <c r="Y42" s="22">
        <f t="shared" si="2"/>
        <v>0</v>
      </c>
      <c r="Z42" s="23">
        <f t="shared" si="3"/>
        <v>0</v>
      </c>
      <c r="AA42" s="23"/>
      <c r="AB42" s="23">
        <f t="shared" si="4"/>
        <v>0</v>
      </c>
      <c r="AC42" s="23">
        <f t="shared" si="5"/>
        <v>0</v>
      </c>
      <c r="AD42" s="23"/>
      <c r="AE42" s="23">
        <f t="shared" si="6"/>
        <v>0</v>
      </c>
      <c r="AF42" s="25"/>
    </row>
    <row r="43" spans="2:32" ht="15" customHeight="1" x14ac:dyDescent="0.25">
      <c r="B43" s="21">
        <v>30</v>
      </c>
      <c r="C43" s="55"/>
      <c r="D43" s="56"/>
      <c r="E43" s="55"/>
      <c r="F43" s="55"/>
      <c r="G43" s="54"/>
      <c r="H43" s="53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7"/>
      <c r="Y43" s="22">
        <f t="shared" si="2"/>
        <v>0</v>
      </c>
      <c r="Z43" s="23">
        <f t="shared" si="3"/>
        <v>0</v>
      </c>
      <c r="AA43" s="23"/>
      <c r="AB43" s="23">
        <f t="shared" si="4"/>
        <v>0</v>
      </c>
      <c r="AC43" s="23">
        <f t="shared" si="5"/>
        <v>0</v>
      </c>
      <c r="AD43" s="23"/>
      <c r="AE43" s="23">
        <f t="shared" si="6"/>
        <v>0</v>
      </c>
      <c r="AF43" s="25"/>
    </row>
    <row r="44" spans="2:32" ht="15" customHeight="1" x14ac:dyDescent="0.25">
      <c r="B44" s="21">
        <v>31</v>
      </c>
      <c r="C44" s="55"/>
      <c r="D44" s="56"/>
      <c r="E44" s="55"/>
      <c r="F44" s="55"/>
      <c r="G44" s="54"/>
      <c r="H44" s="53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7"/>
      <c r="Y44" s="22">
        <f t="shared" si="2"/>
        <v>0</v>
      </c>
      <c r="Z44" s="23">
        <f t="shared" si="3"/>
        <v>0</v>
      </c>
      <c r="AA44" s="23"/>
      <c r="AB44" s="23">
        <f t="shared" si="4"/>
        <v>0</v>
      </c>
      <c r="AC44" s="23">
        <f t="shared" si="5"/>
        <v>0</v>
      </c>
      <c r="AD44" s="23"/>
      <c r="AE44" s="23">
        <f t="shared" si="6"/>
        <v>0</v>
      </c>
      <c r="AF44" s="25"/>
    </row>
    <row r="45" spans="2:32" ht="15" customHeight="1" x14ac:dyDescent="0.25">
      <c r="B45" s="21">
        <v>32</v>
      </c>
      <c r="C45" s="55"/>
      <c r="D45" s="56"/>
      <c r="E45" s="55"/>
      <c r="F45" s="55"/>
      <c r="G45" s="54"/>
      <c r="H45" s="53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7"/>
      <c r="Y45" s="22">
        <f t="shared" si="2"/>
        <v>0</v>
      </c>
      <c r="Z45" s="23">
        <f t="shared" si="3"/>
        <v>0</v>
      </c>
      <c r="AA45" s="23"/>
      <c r="AB45" s="23">
        <f t="shared" si="4"/>
        <v>0</v>
      </c>
      <c r="AC45" s="23">
        <f t="shared" si="5"/>
        <v>0</v>
      </c>
      <c r="AD45" s="23"/>
      <c r="AE45" s="23">
        <f t="shared" si="6"/>
        <v>0</v>
      </c>
      <c r="AF45" s="25"/>
    </row>
    <row r="46" spans="2:32" ht="15.75" thickBot="1" x14ac:dyDescent="0.3">
      <c r="B46" s="21">
        <v>33</v>
      </c>
      <c r="C46" s="92"/>
      <c r="D46" s="93"/>
      <c r="E46" s="55"/>
      <c r="F46" s="55"/>
      <c r="G46" s="57"/>
      <c r="H46" s="55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7"/>
      <c r="Y46" s="22">
        <f t="shared" si="2"/>
        <v>0</v>
      </c>
      <c r="Z46" s="23">
        <f t="shared" si="3"/>
        <v>0</v>
      </c>
      <c r="AA46" s="23"/>
      <c r="AB46" s="23">
        <f t="shared" si="4"/>
        <v>0</v>
      </c>
      <c r="AC46" s="23">
        <f t="shared" si="5"/>
        <v>0</v>
      </c>
      <c r="AD46" s="23"/>
      <c r="AE46" s="23">
        <f t="shared" si="6"/>
        <v>0</v>
      </c>
      <c r="AF46" s="25"/>
    </row>
    <row r="47" spans="2:32" ht="15.75" customHeight="1" thickBot="1" x14ac:dyDescent="0.3">
      <c r="B47" s="40"/>
      <c r="C47" s="89"/>
      <c r="D47" s="90"/>
      <c r="E47" s="26"/>
      <c r="F47" s="48"/>
      <c r="G47" s="48"/>
      <c r="H47" s="48" t="s">
        <v>9</v>
      </c>
      <c r="I47" s="42">
        <f>COUNT(I14:I46)</f>
        <v>12</v>
      </c>
      <c r="J47" s="42">
        <f t="shared" ref="J47:X47" si="7">COUNT(J14:J46)</f>
        <v>11</v>
      </c>
      <c r="K47" s="42">
        <f t="shared" si="7"/>
        <v>11</v>
      </c>
      <c r="L47" s="42">
        <f t="shared" si="7"/>
        <v>12</v>
      </c>
      <c r="M47" s="42">
        <f t="shared" si="7"/>
        <v>11</v>
      </c>
      <c r="N47" s="42">
        <f t="shared" si="7"/>
        <v>13</v>
      </c>
      <c r="O47" s="42">
        <f t="shared" si="7"/>
        <v>12</v>
      </c>
      <c r="P47" s="42">
        <f t="shared" si="7"/>
        <v>12</v>
      </c>
      <c r="Q47" s="42">
        <f t="shared" si="7"/>
        <v>11</v>
      </c>
      <c r="R47" s="42">
        <f t="shared" si="7"/>
        <v>11</v>
      </c>
      <c r="S47" s="42">
        <f t="shared" si="7"/>
        <v>13</v>
      </c>
      <c r="T47" s="42">
        <f t="shared" si="7"/>
        <v>12</v>
      </c>
      <c r="U47" s="42">
        <f t="shared" si="7"/>
        <v>11</v>
      </c>
      <c r="V47" s="42">
        <f t="shared" si="7"/>
        <v>12</v>
      </c>
      <c r="W47" s="42">
        <f t="shared" si="7"/>
        <v>11</v>
      </c>
      <c r="X47" s="42">
        <f t="shared" si="7"/>
        <v>1</v>
      </c>
      <c r="Y47" s="43">
        <f>SUM(Y14:Y46)</f>
        <v>176</v>
      </c>
      <c r="Z47" s="43">
        <f t="shared" ref="Z47:AF47" si="8">SUM(Z14:Z46)</f>
        <v>1408</v>
      </c>
      <c r="AA47" s="44">
        <f t="shared" si="8"/>
        <v>511</v>
      </c>
      <c r="AB47" s="43">
        <f t="shared" si="8"/>
        <v>0</v>
      </c>
      <c r="AC47" s="44">
        <f t="shared" si="8"/>
        <v>0</v>
      </c>
      <c r="AD47" s="43">
        <f t="shared" si="8"/>
        <v>0</v>
      </c>
      <c r="AE47" s="43">
        <f t="shared" si="8"/>
        <v>0</v>
      </c>
      <c r="AF47" s="43">
        <f t="shared" si="8"/>
        <v>0</v>
      </c>
    </row>
    <row r="49" spans="2:32" ht="15.75" x14ac:dyDescent="0.25">
      <c r="B49" s="27" t="s">
        <v>35</v>
      </c>
      <c r="I49" s="67" t="s">
        <v>44</v>
      </c>
      <c r="J49" s="67"/>
      <c r="K49" s="67"/>
      <c r="L49" s="67"/>
      <c r="S49" s="67" t="s">
        <v>45</v>
      </c>
      <c r="T49" s="67"/>
      <c r="U49" s="67"/>
      <c r="V49" s="67"/>
      <c r="AA49" s="6"/>
      <c r="AB49" s="3" t="s">
        <v>21</v>
      </c>
      <c r="AC49" s="4"/>
      <c r="AD49" s="4"/>
      <c r="AE49" s="5"/>
      <c r="AF49" s="6"/>
    </row>
    <row r="50" spans="2:32" ht="15.75" x14ac:dyDescent="0.25">
      <c r="V50" s="5"/>
      <c r="AA50" s="5"/>
      <c r="AB50" s="29" t="s">
        <v>22</v>
      </c>
      <c r="AC50" s="8"/>
      <c r="AD50" s="8"/>
      <c r="AE50" s="5"/>
      <c r="AF50" s="5"/>
    </row>
    <row r="51" spans="2:32" ht="15.75" x14ac:dyDescent="0.25">
      <c r="V51" s="5"/>
      <c r="AA51" s="5"/>
      <c r="AB51" s="29" t="s">
        <v>23</v>
      </c>
      <c r="AC51" s="8"/>
      <c r="AD51" s="8"/>
      <c r="AE51" s="5"/>
      <c r="AF51" s="5"/>
    </row>
    <row r="52" spans="2:32" ht="15.75" x14ac:dyDescent="0.25">
      <c r="B52" s="68"/>
      <c r="C52" s="68"/>
      <c r="D52" s="68"/>
      <c r="E52" s="68"/>
      <c r="F52" s="41"/>
      <c r="G52" s="41"/>
      <c r="H52" s="41"/>
      <c r="I52" s="68"/>
      <c r="J52" s="68"/>
      <c r="K52" s="68"/>
      <c r="L52" s="68"/>
      <c r="M52" s="68"/>
      <c r="N52" s="68"/>
      <c r="O52" s="68"/>
      <c r="P52" s="46"/>
      <c r="Q52" s="46"/>
      <c r="R52" s="46"/>
      <c r="S52" s="68"/>
      <c r="T52" s="68"/>
      <c r="U52" s="68"/>
      <c r="V52" s="68"/>
      <c r="W52" s="68"/>
      <c r="X52" s="68"/>
      <c r="Y52" s="68"/>
      <c r="AA52" s="5"/>
      <c r="AB52" s="29" t="s">
        <v>24</v>
      </c>
      <c r="AC52" s="8"/>
      <c r="AD52" s="8"/>
      <c r="AE52" s="5"/>
      <c r="AF52" s="5"/>
    </row>
    <row r="53" spans="2:32" ht="15.75" customHeight="1" x14ac:dyDescent="0.25">
      <c r="B53" s="70" t="s">
        <v>36</v>
      </c>
      <c r="C53" s="70"/>
      <c r="D53" s="70"/>
      <c r="E53" s="70"/>
      <c r="I53" s="69" t="s">
        <v>37</v>
      </c>
      <c r="J53" s="69"/>
      <c r="K53" s="69"/>
      <c r="L53" s="69"/>
      <c r="M53" s="69"/>
      <c r="N53" s="69"/>
      <c r="O53" s="69"/>
      <c r="P53" s="18"/>
      <c r="Q53" s="18"/>
      <c r="R53" s="18"/>
      <c r="S53" s="69" t="s">
        <v>38</v>
      </c>
      <c r="T53" s="69"/>
      <c r="U53" s="69"/>
      <c r="V53" s="69"/>
      <c r="W53" s="69"/>
      <c r="X53" s="69"/>
      <c r="Y53" s="69"/>
      <c r="AA53" s="5"/>
      <c r="AB53" s="29" t="s">
        <v>25</v>
      </c>
      <c r="AC53" s="5"/>
      <c r="AD53" s="5"/>
      <c r="AE53" s="5"/>
      <c r="AF53" s="5"/>
    </row>
    <row r="54" spans="2:32" ht="15.75" x14ac:dyDescent="0.25">
      <c r="V54" s="5"/>
      <c r="AA54" s="5"/>
      <c r="AB54" s="29" t="s">
        <v>26</v>
      </c>
      <c r="AC54" s="8"/>
      <c r="AD54" s="8"/>
      <c r="AE54" s="5"/>
      <c r="AF54" s="5"/>
    </row>
    <row r="55" spans="2:32" ht="15.75" x14ac:dyDescent="0.25">
      <c r="V55" s="5"/>
      <c r="AA55" s="5"/>
      <c r="AB55" s="29" t="s">
        <v>27</v>
      </c>
      <c r="AC55" s="8"/>
      <c r="AD55" s="8"/>
      <c r="AE55" s="5"/>
      <c r="AF55" s="5"/>
    </row>
    <row r="56" spans="2:32" ht="15.75" x14ac:dyDescent="0.25">
      <c r="B56" s="28"/>
      <c r="C56" s="28"/>
      <c r="D56" s="28"/>
      <c r="E56" s="28"/>
      <c r="F56" s="28"/>
      <c r="G56" s="28"/>
      <c r="H56" s="28"/>
      <c r="I56" s="28"/>
      <c r="J56" s="29"/>
      <c r="K56" s="29"/>
      <c r="L56" s="28"/>
      <c r="M56" s="28"/>
      <c r="N56" s="29"/>
      <c r="V56" s="9"/>
      <c r="AA56" s="5"/>
      <c r="AB56" s="39" t="s">
        <v>28</v>
      </c>
      <c r="AC56" s="8"/>
      <c r="AD56" s="8"/>
      <c r="AE56" s="5"/>
      <c r="AF56" s="5"/>
    </row>
    <row r="57" spans="2:32" ht="15.75" x14ac:dyDescent="0.25">
      <c r="B57" s="28" t="s">
        <v>39</v>
      </c>
      <c r="C57" s="38" t="s">
        <v>40</v>
      </c>
      <c r="D57" s="38"/>
      <c r="E57" s="38"/>
      <c r="F57" s="38"/>
      <c r="G57" s="38"/>
      <c r="H57" s="38"/>
      <c r="I57" s="38"/>
      <c r="J57" s="38"/>
      <c r="K57" s="39"/>
      <c r="L57" s="39"/>
      <c r="M57" s="38"/>
      <c r="N57" s="38"/>
      <c r="O57" s="29"/>
      <c r="P57" s="28"/>
      <c r="V57" s="5"/>
      <c r="AA57" s="5"/>
      <c r="AB57" s="29" t="s">
        <v>29</v>
      </c>
      <c r="AC57" s="5"/>
      <c r="AD57" s="5"/>
      <c r="AE57" s="5"/>
      <c r="AF57" s="5"/>
    </row>
    <row r="58" spans="2:32" ht="15.75" x14ac:dyDescent="0.25">
      <c r="B58" s="29"/>
      <c r="C58" s="38" t="s">
        <v>41</v>
      </c>
      <c r="D58" s="38"/>
      <c r="E58" s="39"/>
      <c r="F58" s="39"/>
      <c r="G58" s="39"/>
      <c r="H58" s="39"/>
      <c r="I58" s="39"/>
      <c r="J58" s="39"/>
      <c r="K58" s="39"/>
      <c r="L58" s="39"/>
      <c r="M58" s="38"/>
      <c r="N58" s="38"/>
      <c r="O58" s="29"/>
      <c r="P58" s="28"/>
      <c r="V58" s="5"/>
      <c r="AA58" s="5"/>
      <c r="AB58" s="29" t="s">
        <v>30</v>
      </c>
      <c r="AC58" s="5"/>
      <c r="AD58" s="5"/>
      <c r="AE58" s="5"/>
      <c r="AF58" s="5"/>
    </row>
    <row r="59" spans="2:32" ht="15.75" x14ac:dyDescent="0.25">
      <c r="B59" s="29"/>
      <c r="C59" s="38" t="s">
        <v>42</v>
      </c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29"/>
      <c r="P59" s="28"/>
      <c r="V59" s="5"/>
      <c r="AA59" s="5"/>
      <c r="AB59" s="29" t="s">
        <v>31</v>
      </c>
      <c r="AC59" s="5"/>
      <c r="AD59" s="5"/>
      <c r="AE59" s="5"/>
      <c r="AF59" s="5"/>
    </row>
    <row r="60" spans="2:32" ht="15.75" x14ac:dyDescent="0.25">
      <c r="V60" s="5"/>
      <c r="AA60" s="11"/>
      <c r="AB60" s="29" t="s">
        <v>32</v>
      </c>
      <c r="AC60" s="5"/>
      <c r="AD60" s="5"/>
      <c r="AE60" s="11"/>
      <c r="AF60" s="11"/>
    </row>
    <row r="61" spans="2:32" ht="15.75" x14ac:dyDescent="0.25">
      <c r="B61" s="27"/>
      <c r="C61" s="45" t="s">
        <v>43</v>
      </c>
      <c r="D61" s="27"/>
      <c r="E61" s="27"/>
      <c r="F61" s="27"/>
      <c r="G61" s="27"/>
      <c r="H61" s="27"/>
      <c r="I61" s="27"/>
      <c r="J61" s="27"/>
      <c r="V61" s="10"/>
      <c r="AA61" s="11"/>
      <c r="AB61" s="15" t="s">
        <v>33</v>
      </c>
      <c r="AC61" s="11"/>
      <c r="AD61" s="11"/>
      <c r="AE61" s="11"/>
      <c r="AF61" s="11"/>
    </row>
    <row r="62" spans="2:32" ht="15.75" x14ac:dyDescent="0.25">
      <c r="V62" s="10"/>
      <c r="AA62" s="11"/>
      <c r="AB62" s="15" t="s">
        <v>34</v>
      </c>
      <c r="AC62" s="11"/>
      <c r="AD62" s="11"/>
      <c r="AE62" s="11"/>
      <c r="AF62" s="11"/>
    </row>
  </sheetData>
  <mergeCells count="52">
    <mergeCell ref="C40:D40"/>
    <mergeCell ref="C46:D46"/>
    <mergeCell ref="C22:D22"/>
    <mergeCell ref="C23:D23"/>
    <mergeCell ref="C24:D24"/>
    <mergeCell ref="C25:D25"/>
    <mergeCell ref="C26:D26"/>
    <mergeCell ref="C27:D27"/>
    <mergeCell ref="C47:D47"/>
    <mergeCell ref="B12:B13"/>
    <mergeCell ref="AF12:AF13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E12:E13"/>
    <mergeCell ref="C16:D16"/>
    <mergeCell ref="C18:D18"/>
    <mergeCell ref="C19:D19"/>
    <mergeCell ref="C20:D20"/>
    <mergeCell ref="C21:D21"/>
    <mergeCell ref="C17:D17"/>
    <mergeCell ref="E10:F10"/>
    <mergeCell ref="E9:F9"/>
    <mergeCell ref="C12:D13"/>
    <mergeCell ref="C14:D14"/>
    <mergeCell ref="C15:D15"/>
    <mergeCell ref="F12:F13"/>
    <mergeCell ref="D2:AF3"/>
    <mergeCell ref="D4:AF5"/>
    <mergeCell ref="S49:V49"/>
    <mergeCell ref="S52:Y52"/>
    <mergeCell ref="S53:Y53"/>
    <mergeCell ref="B53:E53"/>
    <mergeCell ref="I52:O52"/>
    <mergeCell ref="I53:O53"/>
    <mergeCell ref="B52:E52"/>
    <mergeCell ref="I49:L49"/>
    <mergeCell ref="D8:G8"/>
    <mergeCell ref="G12:G13"/>
    <mergeCell ref="H12:H13"/>
    <mergeCell ref="D6:AF6"/>
    <mergeCell ref="B8:C8"/>
    <mergeCell ref="B10:C10"/>
  </mergeCells>
  <conditionalFormatting sqref="I12:X12">
    <cfRule type="expression" priority="13">
      <formula>TEXT($E$9+COLUMN()-COLUMN($I$12),"ddd")="Sun"</formula>
    </cfRule>
    <cfRule type="expression" dxfId="12" priority="14">
      <formula>TEXT($E$9+COLUMN()-COLUMN($I$12),"ddd")="Sun"</formula>
    </cfRule>
  </conditionalFormatting>
  <conditionalFormatting sqref="I14:X46">
    <cfRule type="expression" dxfId="11" priority="1">
      <formula>EXACT(I14, "S")</formula>
    </cfRule>
    <cfRule type="expression" dxfId="10" priority="2">
      <formula>EXACT(I14, "R")</formula>
    </cfRule>
    <cfRule type="expression" dxfId="9" priority="3">
      <formula>EXACT(I14, "T")</formula>
    </cfRule>
    <cfRule type="expression" dxfId="8" priority="4">
      <formula>EXACT(I14, "SH+")</formula>
    </cfRule>
    <cfRule type="expression" dxfId="7" priority="5">
      <formula>EXACT(I14, "SH")</formula>
    </cfRule>
    <cfRule type="expression" dxfId="6" priority="6">
      <formula>EXACT(I14, "RS")</formula>
    </cfRule>
    <cfRule type="expression" dxfId="5" priority="7">
      <formula>EXACT(I14, "RH+")</formula>
    </cfRule>
    <cfRule type="expression" dxfId="4" priority="8">
      <formula>EXACT(I14, "RH")</formula>
    </cfRule>
    <cfRule type="expression" dxfId="3" priority="9">
      <formula>EXACT(I14, "LR")</formula>
    </cfRule>
    <cfRule type="expression" dxfId="2" priority="10">
      <formula>EXACT(I14, "L")</formula>
    </cfRule>
    <cfRule type="expression" dxfId="1" priority="11">
      <formula>EXACT(I14, "D")</formula>
    </cfRule>
    <cfRule type="expression" dxfId="0" priority="12">
      <formula>EXACT(I14, "A")</formula>
    </cfRule>
  </conditionalFormatting>
  <dataValidations count="1">
    <dataValidation type="list" allowBlank="1" showInputMessage="1" showErrorMessage="1" sqref="I14:X46" xr:uid="{E1296ECF-C1FD-4AB9-9812-F0906A76F336}">
      <formula1>"A, D, L, LR, RH, RH+, RS, SH, SH+, T, R, S, RS, 8, 8,5, 9, 9.5, 10, 10.5, 11, 11.5, 12, 12.5, 13, 13.5, 14, 14.5, 15, 15.5, 16, 16.5, 17, 17.5, 18, 18.5, 19, 19.5, 20, 20.5, 21, 21.5, 22, 22.5, 23, 23.5, 24"</formula1>
    </dataValidation>
  </dataValidations>
  <pageMargins left="0.25" right="0.25" top="0.75" bottom="0.75" header="0.3" footer="0.3"/>
  <pageSetup paperSize="9" scale="50" orientation="landscape" horizont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cp:lastPrinted>2025-09-30T05:53:15Z</cp:lastPrinted>
  <dcterms:created xsi:type="dcterms:W3CDTF">2025-09-25T07:44:03Z</dcterms:created>
  <dcterms:modified xsi:type="dcterms:W3CDTF">2025-10-02T01:01:43Z</dcterms:modified>
</cp:coreProperties>
</file>