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67" documentId="8_{0F88C256-4BAB-44B4-861F-C2E2F076531A}" xr6:coauthVersionLast="47" xr6:coauthVersionMax="47" xr10:uidLastSave="{215BD037-6200-47C7-B93F-0A3D357D6CC2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<sst xmlns="http://schemas.openxmlformats.org/spreadsheetml/2006/main" count="94" uniqueCount="77">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</sst>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zoomScale="70" zoomScaleNormal="70" workbookViewId="0">
      <selection activeCell="AJ29" sqref="AJ29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59" t="s">
        <v>0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1"/>
    </row>
    <row r="3" spans="2:32" ht="15.75" x14ac:dyDescent="0.25">
      <c r="B3" s="14"/>
      <c r="C3" s="15"/>
      <c r="D3" s="62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4"/>
    </row>
    <row r="4" spans="2:32" ht="15.75" x14ac:dyDescent="0.25">
      <c r="B4" s="14"/>
      <c r="C4" s="15"/>
      <c r="D4" s="65" t="s">
        <v>1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7"/>
    </row>
    <row r="5" spans="2:32" ht="15.75" x14ac:dyDescent="0.25">
      <c r="B5" s="14"/>
      <c r="C5" s="15"/>
      <c r="D5" s="62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4"/>
    </row>
    <row r="6" spans="2:32" ht="16.5" customHeight="1" thickBot="1" x14ac:dyDescent="0.3">
      <c r="B6" s="16"/>
      <c r="C6" s="17"/>
      <c r="D6" s="79" t="s">
        <v>2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1"/>
    </row>
    <row r="7" spans="2:32" x14ac:dyDescent="0.25">
      <c r="H7" s="52"/>
      <c r="I7" s="52"/>
    </row>
    <row r="8" spans="2:32" ht="15" customHeight="1" x14ac:dyDescent="0.25">
      <c r="B8" s="82" t="s">
        <v>3</v>
      </c>
      <c r="C8" s="82"/>
      <c r="D8" s="72" t="s">
        <v>4</v>
      </c>
      <c r="E8" s="73"/>
      <c r="F8" s="73"/>
      <c r="G8" s="74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85">
        <v>45901</v>
      </c>
      <c r="F9" s="85"/>
      <c r="G9" s="47"/>
      <c r="H9" s="51"/>
      <c r="I9" s="20"/>
      <c r="J9" s="20"/>
      <c r="K9" s="20"/>
      <c r="L9" s="20"/>
    </row>
    <row r="10" spans="2:32" ht="15" customHeight="1" x14ac:dyDescent="0.25">
      <c r="B10" s="83"/>
      <c r="C10" s="83"/>
      <c r="D10" s="19" t="s">
        <v>6</v>
      </c>
      <c r="E10" s="84">
        <v>45915</v>
      </c>
      <c r="F10" s="84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75" t="s">
        <v>7</v>
      </c>
      <c r="C12" s="77" t="s">
        <v>8</v>
      </c>
      <c r="D12" s="86"/>
      <c r="E12" s="77" t="s">
        <v>18</v>
      </c>
      <c r="F12" s="77" t="s">
        <v>19</v>
      </c>
      <c r="G12" s="75" t="s">
        <v>49</v>
      </c>
      <c r="H12" s="77" t="s">
        <v>50</v>
      </c>
      <c r="I12" s="30" t="str">
        <f t="shared" ref="I12:X12" si="0">IF(COLUMN()-COLUMN($I$12)&lt;=$E$10-$E9+1, TEXT($E$9+COLUMN()-COLUMN($I$12),"ddd"), "")</f>
        <v>Mon</v>
      </c>
      <c r="J12" s="31" t="str">
        <f t="shared" si="0"/>
        <v>Tue</v>
      </c>
      <c r="K12" s="31" t="str">
        <f t="shared" si="0"/>
        <v>Wed</v>
      </c>
      <c r="L12" s="31" t="str">
        <f t="shared" si="0"/>
        <v>Thu</v>
      </c>
      <c r="M12" s="31" t="str">
        <f t="shared" si="0"/>
        <v>Fri</v>
      </c>
      <c r="N12" s="31" t="str">
        <f t="shared" si="0"/>
        <v>Sat</v>
      </c>
      <c r="O12" s="31" t="str">
        <f t="shared" si="0"/>
        <v>Sun</v>
      </c>
      <c r="P12" s="31" t="str">
        <f t="shared" si="0"/>
        <v>Mon</v>
      </c>
      <c r="Q12" s="31" t="str">
        <f t="shared" si="0"/>
        <v>Tue</v>
      </c>
      <c r="R12" s="31" t="str">
        <f t="shared" si="0"/>
        <v>Wed</v>
      </c>
      <c r="S12" s="31" t="str">
        <f t="shared" si="0"/>
        <v>Thu</v>
      </c>
      <c r="T12" s="31" t="str">
        <f t="shared" si="0"/>
        <v>Fri</v>
      </c>
      <c r="U12" s="31" t="str">
        <f t="shared" si="0"/>
        <v>Sat</v>
      </c>
      <c r="V12" s="31" t="str">
        <f t="shared" si="0"/>
        <v>Sun</v>
      </c>
      <c r="W12" s="31" t="str">
        <f t="shared" si="0"/>
        <v>Mon</v>
      </c>
      <c r="X12" s="32" t="str">
        <f t="shared" si="0"/>
        <v>Tue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92" t="s">
        <v>48</v>
      </c>
    </row>
    <row r="13" spans="2:32" ht="15.75" thickBot="1" x14ac:dyDescent="0.3">
      <c r="B13" s="76"/>
      <c r="C13" s="78"/>
      <c r="D13" s="87"/>
      <c r="E13" s="78"/>
      <c r="F13" s="78"/>
      <c r="G13" s="76"/>
      <c r="H13" s="78"/>
      <c r="I13" s="33">
        <f t="shared" ref="I13:X13" si="1">IF(COLUMN()-COLUMN($I$13)&lt;=$E$10-$E$9+1, DAY($E$9+COLUMN()-COLUMN($I$13)), "")</f>
        <v>1</v>
      </c>
      <c r="J13" s="34">
        <f t="shared" si="1"/>
        <v>2</v>
      </c>
      <c r="K13" s="34">
        <f t="shared" si="1"/>
        <v>3</v>
      </c>
      <c r="L13" s="34">
        <f t="shared" si="1"/>
        <v>4</v>
      </c>
      <c r="M13" s="34">
        <f t="shared" si="1"/>
        <v>5</v>
      </c>
      <c r="N13" s="34">
        <f t="shared" si="1"/>
        <v>6</v>
      </c>
      <c r="O13" s="34">
        <f t="shared" si="1"/>
        <v>7</v>
      </c>
      <c r="P13" s="34">
        <f t="shared" si="1"/>
        <v>8</v>
      </c>
      <c r="Q13" s="34">
        <f t="shared" si="1"/>
        <v>9</v>
      </c>
      <c r="R13" s="34">
        <f t="shared" si="1"/>
        <v>10</v>
      </c>
      <c r="S13" s="34">
        <f t="shared" si="1"/>
        <v>11</v>
      </c>
      <c r="T13" s="34">
        <f t="shared" si="1"/>
        <v>12</v>
      </c>
      <c r="U13" s="34">
        <f t="shared" si="1"/>
        <v>13</v>
      </c>
      <c r="V13" s="34">
        <f t="shared" si="1"/>
        <v>14</v>
      </c>
      <c r="W13" s="34">
        <f t="shared" si="1"/>
        <v>15</v>
      </c>
      <c r="X13" s="35">
        <f t="shared" si="1"/>
        <v>16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92"/>
    </row>
    <row r="14" spans="2:32" ht="15" customHeight="1" x14ac:dyDescent="0.25">
      <c r="B14" s="21">
        <v>1</v>
      </c>
      <c r="C14" s="88" t="s">
        <v>51</v>
      </c>
      <c r="D14" s="89"/>
      <c r="E14" s="54">
        <v>3757</v>
      </c>
      <c r="F14" s="54" t="s">
        <v>52</v>
      </c>
      <c r="G14" s="55"/>
      <c r="H14" s="54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88" t="s">
        <v>53</v>
      </c>
      <c r="D15" s="89"/>
      <c r="E15" s="54">
        <v>3789</v>
      </c>
      <c r="F15" s="54" t="s">
        <v>52</v>
      </c>
      <c r="G15" s="55"/>
      <c r="H15" s="54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88" t="s">
        <v>56</v>
      </c>
      <c r="D16" s="89"/>
      <c r="E16" s="54">
        <v>3803</v>
      </c>
      <c r="F16" s="54" t="s">
        <v>54</v>
      </c>
      <c r="G16" s="55"/>
      <c r="H16" s="54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88" t="s">
        <v>55</v>
      </c>
      <c r="D17" s="89"/>
      <c r="E17" s="54">
        <v>2834</v>
      </c>
      <c r="F17" s="54" t="s">
        <v>54</v>
      </c>
      <c r="G17" s="55"/>
      <c r="H17" s="54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88" t="s">
        <v>58</v>
      </c>
      <c r="D18" s="89"/>
      <c r="E18" s="54">
        <v>3762</v>
      </c>
      <c r="F18" s="54" t="s">
        <v>57</v>
      </c>
      <c r="G18" s="55"/>
      <c r="H18" s="54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88" t="s">
        <v>59</v>
      </c>
      <c r="D19" s="89"/>
      <c r="E19" s="54">
        <v>3801</v>
      </c>
      <c r="F19" s="54" t="s">
        <v>57</v>
      </c>
      <c r="G19" s="55"/>
      <c r="H19" s="54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88" t="s">
        <v>60</v>
      </c>
      <c r="D20" s="89"/>
      <c r="E20" s="54">
        <v>3747</v>
      </c>
      <c r="F20" s="54" t="s">
        <v>61</v>
      </c>
      <c r="G20" s="55"/>
      <c r="H20" s="54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88" t="s">
        <v>62</v>
      </c>
      <c r="D21" s="89"/>
      <c r="E21" s="54">
        <v>3969</v>
      </c>
      <c r="F21" s="54" t="s">
        <v>61</v>
      </c>
      <c r="G21" s="55"/>
      <c r="H21" s="54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88" t="s">
        <v>65</v>
      </c>
      <c r="D22" s="89"/>
      <c r="E22" s="54">
        <v>3780</v>
      </c>
      <c r="F22" s="54" t="s">
        <v>63</v>
      </c>
      <c r="G22" s="55"/>
      <c r="H22" s="54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88" t="s">
        <v>64</v>
      </c>
      <c r="D23" s="89"/>
      <c r="E23" s="54">
        <v>3760</v>
      </c>
      <c r="F23" s="54" t="s">
        <v>63</v>
      </c>
      <c r="G23" s="55"/>
      <c r="H23" s="54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88" t="s">
        <v>66</v>
      </c>
      <c r="D24" s="89"/>
      <c r="E24" s="54">
        <v>3735</v>
      </c>
      <c r="F24" s="54" t="s">
        <v>67</v>
      </c>
      <c r="G24" s="55"/>
      <c r="H24" s="54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88"/>
      <c r="D25" s="89"/>
      <c r="E25" s="54"/>
      <c r="F25" s="54"/>
      <c r="G25" s="55"/>
      <c r="H25" s="5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88" t="s">
        <v>68</v>
      </c>
      <c r="D26" s="89"/>
      <c r="E26" s="54">
        <v>3805</v>
      </c>
      <c r="F26" s="54" t="s">
        <v>69</v>
      </c>
      <c r="G26" s="55"/>
      <c r="H26" s="54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88" t="s">
        <v>70</v>
      </c>
      <c r="D27" s="89"/>
      <c r="E27" s="54">
        <v>3752</v>
      </c>
      <c r="F27" s="54" t="s">
        <v>69</v>
      </c>
      <c r="G27" s="55"/>
      <c r="H27" s="54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88" t="s">
        <v>71</v>
      </c>
      <c r="D28" s="89"/>
      <c r="E28" s="54">
        <v>3182</v>
      </c>
      <c r="F28" s="54" t="s">
        <v>69</v>
      </c>
      <c r="G28" s="55"/>
      <c r="H28" s="5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88" t="s">
        <v>72</v>
      </c>
      <c r="D29" s="89"/>
      <c r="E29" s="54">
        <v>3736</v>
      </c>
      <c r="F29" s="54" t="s">
        <v>69</v>
      </c>
      <c r="G29" s="55"/>
      <c r="H29" s="54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88" t="s">
        <v>73</v>
      </c>
      <c r="D30" s="89"/>
      <c r="E30" s="54">
        <v>3986</v>
      </c>
      <c r="F30" s="54" t="s">
        <v>69</v>
      </c>
      <c r="G30" s="55"/>
      <c r="H30" s="5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x14ac:dyDescent="0.25">
      <c r="B31" s="21">
        <v>18</v>
      </c>
      <c r="C31" s="88" t="s">
        <v>74</v>
      </c>
      <c r="D31" s="89"/>
      <c r="E31" s="54">
        <v>3746</v>
      </c>
      <c r="F31" s="54" t="s">
        <v>69</v>
      </c>
      <c r="G31" s="55"/>
      <c r="H31" s="54"/>
      <c r="I31" s="36"/>
      <c r="J31" s="36"/>
      <c r="K31" s="36"/>
      <c r="L31" s="36"/>
      <c r="M31" s="36"/>
      <c r="N31" s="36"/>
      <c r="O31" s="36"/>
      <c r="P31" s="36">
        <v>8</v>
      </c>
      <c r="Q31" s="36">
        <v>8</v>
      </c>
      <c r="R31" s="36">
        <v>8</v>
      </c>
      <c r="S31" s="36"/>
      <c r="T31" s="36"/>
      <c r="U31" s="36">
        <v>8</v>
      </c>
      <c r="V31" s="36">
        <v>8</v>
      </c>
      <c r="W31" s="36">
        <v>8</v>
      </c>
      <c r="X31" s="37"/>
      <c r="Y31" s="22">
        <f t="shared" si="2"/>
        <v>6</v>
      </c>
      <c r="Z31" s="23">
        <f t="shared" si="3"/>
        <v>48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88" t="s">
        <v>75</v>
      </c>
      <c r="D32" s="89"/>
      <c r="E32" s="54"/>
      <c r="F32" s="54" t="s">
        <v>69</v>
      </c>
      <c r="G32" s="55"/>
      <c r="H32" s="54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/>
      <c r="T32" s="36"/>
      <c r="U32" s="36"/>
      <c r="V32" s="36"/>
      <c r="W32" s="36"/>
      <c r="X32" s="37"/>
      <c r="Y32" s="22">
        <f t="shared" si="2"/>
        <v>10</v>
      </c>
      <c r="Z32" s="23">
        <f t="shared" si="3"/>
        <v>80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88" t="s">
        <v>76</v>
      </c>
      <c r="D33" s="89"/>
      <c r="E33" s="54">
        <v>3778</v>
      </c>
      <c r="F33" s="54" t="s">
        <v>69</v>
      </c>
      <c r="G33" s="55"/>
      <c r="H33" s="54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88" t="s">
        <v>58</v>
      </c>
      <c r="D34" s="89"/>
      <c r="E34" s="54">
        <v>3762</v>
      </c>
      <c r="F34" s="54" t="s">
        <v>69</v>
      </c>
      <c r="G34" s="55"/>
      <c r="H34" s="54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88"/>
      <c r="D35" s="89"/>
      <c r="E35" s="54"/>
      <c r="F35" s="54"/>
      <c r="G35" s="55"/>
      <c r="H35" s="54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88"/>
      <c r="D36" s="89"/>
      <c r="E36" s="54"/>
      <c r="F36" s="54"/>
      <c r="G36" s="55"/>
      <c r="H36" s="5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88"/>
      <c r="D37" s="89"/>
      <c r="E37" s="54"/>
      <c r="F37" s="54"/>
      <c r="G37" s="55"/>
      <c r="H37" s="5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88"/>
      <c r="D38" s="89"/>
      <c r="E38" s="54"/>
      <c r="F38" s="54"/>
      <c r="G38" s="55"/>
      <c r="H38" s="5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88"/>
      <c r="D39" s="89"/>
      <c r="E39" s="54"/>
      <c r="F39" s="54"/>
      <c r="G39" s="55"/>
      <c r="H39" s="5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88"/>
      <c r="D40" s="89"/>
      <c r="E40" s="54"/>
      <c r="F40" s="54"/>
      <c r="G40" s="55"/>
      <c r="H40" s="5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6"/>
      <c r="D41" s="57"/>
      <c r="E41" s="56"/>
      <c r="F41" s="56"/>
      <c r="G41" s="55"/>
      <c r="H41" s="5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6"/>
      <c r="D42" s="57"/>
      <c r="E42" s="56"/>
      <c r="F42" s="56"/>
      <c r="G42" s="55"/>
      <c r="H42" s="5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6"/>
      <c r="D43" s="57"/>
      <c r="E43" s="56"/>
      <c r="F43" s="56"/>
      <c r="G43" s="55"/>
      <c r="H43" s="54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6"/>
      <c r="D44" s="57"/>
      <c r="E44" s="56"/>
      <c r="F44" s="56"/>
      <c r="G44" s="55"/>
      <c r="H44" s="5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6"/>
      <c r="D45" s="57"/>
      <c r="E45" s="56"/>
      <c r="F45" s="56"/>
      <c r="G45" s="55"/>
      <c r="H45" s="5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93"/>
      <c r="D46" s="94"/>
      <c r="E46" s="56"/>
      <c r="F46" s="56"/>
      <c r="G46" s="58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90"/>
      <c r="D47" s="91"/>
      <c r="E47" s="26"/>
      <c r="F47" s="49"/>
      <c r="G47" s="49"/>
      <c r="H47" s="49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11</v>
      </c>
      <c r="M47" s="42">
        <f t="shared" si="7"/>
        <v>11</v>
      </c>
      <c r="N47" s="42">
        <f t="shared" si="7"/>
        <v>12</v>
      </c>
      <c r="O47" s="42">
        <f t="shared" si="7"/>
        <v>11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11</v>
      </c>
      <c r="T47" s="42">
        <f t="shared" si="7"/>
        <v>12</v>
      </c>
      <c r="U47" s="42">
        <f t="shared" si="7"/>
        <v>12</v>
      </c>
      <c r="V47" s="42">
        <f t="shared" si="7"/>
        <v>12</v>
      </c>
      <c r="W47" s="42">
        <f t="shared" si="7"/>
        <v>11</v>
      </c>
      <c r="X47" s="42">
        <f t="shared" si="7"/>
        <v>0</v>
      </c>
      <c r="Y47" s="43">
        <f>SUM(Y14:Y46)</f>
        <v>170</v>
      </c>
      <c r="Z47" s="43">
        <f t="shared" ref="Z47:AF47" si="8">SUM(Z14:Z46)</f>
        <v>1360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68" t="s">
        <v>44</v>
      </c>
      <c r="J49" s="68"/>
      <c r="K49" s="68"/>
      <c r="L49" s="68"/>
      <c r="S49" s="68" t="s">
        <v>45</v>
      </c>
      <c r="T49" s="68"/>
      <c r="U49" s="68"/>
      <c r="V49" s="68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69"/>
      <c r="C52" s="69"/>
      <c r="D52" s="69"/>
      <c r="E52" s="69"/>
      <c r="F52" s="41"/>
      <c r="G52" s="41"/>
      <c r="H52" s="41"/>
      <c r="I52" s="69"/>
      <c r="J52" s="69"/>
      <c r="K52" s="69"/>
      <c r="L52" s="69"/>
      <c r="M52" s="69"/>
      <c r="N52" s="69"/>
      <c r="O52" s="69"/>
      <c r="P52" s="46"/>
      <c r="Q52" s="46"/>
      <c r="R52" s="46"/>
      <c r="S52" s="69"/>
      <c r="T52" s="69"/>
      <c r="U52" s="69"/>
      <c r="V52" s="69"/>
      <c r="W52" s="69"/>
      <c r="X52" s="69"/>
      <c r="Y52" s="69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71" t="s">
        <v>36</v>
      </c>
      <c r="C53" s="71"/>
      <c r="D53" s="71"/>
      <c r="E53" s="71"/>
      <c r="I53" s="70" t="s">
        <v>37</v>
      </c>
      <c r="J53" s="70"/>
      <c r="K53" s="70"/>
      <c r="L53" s="70"/>
      <c r="M53" s="70"/>
      <c r="N53" s="70"/>
      <c r="O53" s="70"/>
      <c r="P53" s="18"/>
      <c r="Q53" s="18"/>
      <c r="R53" s="18"/>
      <c r="S53" s="70" t="s">
        <v>38</v>
      </c>
      <c r="T53" s="70"/>
      <c r="U53" s="70"/>
      <c r="V53" s="70"/>
      <c r="W53" s="70"/>
      <c r="X53" s="70"/>
      <c r="Y53" s="70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C40:D40"/>
    <mergeCell ref="C46:D46"/>
    <mergeCell ref="C22:D22"/>
    <mergeCell ref="C23:D23"/>
    <mergeCell ref="C24:D24"/>
    <mergeCell ref="C25:D25"/>
    <mergeCell ref="C26:D26"/>
    <mergeCell ref="C27:D2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16:D16"/>
    <mergeCell ref="C18:D18"/>
    <mergeCell ref="C19:D19"/>
    <mergeCell ref="C20:D20"/>
    <mergeCell ref="C21:D21"/>
    <mergeCell ref="C17:D17"/>
    <mergeCell ref="E10:F10"/>
    <mergeCell ref="E9:F9"/>
    <mergeCell ref="C12:D13"/>
    <mergeCell ref="C14:D14"/>
    <mergeCell ref="C15:D15"/>
    <mergeCell ref="F12:F13"/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2025-09-29T01:51:20Z</dcterms:modified>
</cp:coreProperties>
</file>