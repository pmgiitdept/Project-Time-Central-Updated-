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 firstSheet="1" activeTab="1"/>
  </bookViews>
  <sheets>
    <sheet name="October 1 - 15, 2025" sheetId="1" state="hidden" r:id="rId1"/>
    <sheet name="September 16 - 30, 2025" sheetId="5" r:id="rId2"/>
    <sheet name="Sheet3" sheetId="3" state="hidden" r:id="rId3"/>
  </sheets>
  <definedNames>
    <definedName name="_xlnm.Print_Area" localSheetId="0">'October 1 - 15, 2025'!$A$1:$AE$48</definedName>
    <definedName name="_xlnm.Print_Area" localSheetId="1">'September 16 - 30, 2025'!$A$1:$AE$48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<sst xmlns="http://schemas.openxmlformats.org/spreadsheetml/2006/main" count="259" uniqueCount="84">
  <si>
    <t>PROFESSIONAL MAINTENANCE GROUP, INC.</t>
  </si>
  <si>
    <t xml:space="preserve">ATTENDANCE SUMMARY FORM </t>
  </si>
  <si>
    <t>OPS-FRM009-01-10012025</t>
  </si>
  <si>
    <t>PROJECT</t>
  </si>
  <si>
    <t>HSBC CENTRE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</si>
  <si>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</si>
  <si>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</si>
  <si>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</si>
  <si>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</si>
  <si>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</si>
  <si>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</si>
  <si>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</si>
  <si>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</si>
  <si>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</si>
  <si>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</si>
  <si>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</si>
  <si>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</si>
  <si>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</si>
  <si>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</si>
  <si>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</si>
  <si>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</si>
  <si>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</si>
  <si>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</si>
  <si>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</si>
  <si>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</si>
  <si>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</si>
  <si>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GOZAR, FORD WILLIAM R.</t>
  </si>
  <si>
    <t>PM01433</t>
  </si>
  <si>
    <t>SUPERVISOR</t>
  </si>
  <si>
    <t>AM SHIFT</t>
  </si>
  <si>
    <t>7AM - 7PM</t>
  </si>
  <si>
    <t>D</t>
  </si>
  <si>
    <t>GUMPAL, NOWELLA F.</t>
  </si>
  <si>
    <t>PM03696</t>
  </si>
  <si>
    <t>ADMIN ASSISTANT</t>
  </si>
  <si>
    <t>8AM - 5PM</t>
  </si>
  <si>
    <t>PORTADA, JOHN LLOYD A.</t>
  </si>
  <si>
    <t>PM04131</t>
  </si>
  <si>
    <t>HOUSEKEEPING</t>
  </si>
  <si>
    <t>MALTO, ARGIE A.</t>
  </si>
  <si>
    <t>PM04561</t>
  </si>
  <si>
    <t>7AM - 4PM</t>
  </si>
  <si>
    <t>DACUBA, RODERIC M.</t>
  </si>
  <si>
    <t>PM03658</t>
  </si>
  <si>
    <t>10AM - 7PM</t>
  </si>
  <si>
    <t>T</t>
  </si>
  <si>
    <t>REGALA, JOHN ARWIN A.</t>
  </si>
  <si>
    <t>PM04445</t>
  </si>
  <si>
    <t>PM SHIFT</t>
  </si>
  <si>
    <t>12PM - 9PM</t>
  </si>
  <si>
    <t>S</t>
  </si>
  <si>
    <t>TABAR, JOSEPH JR. B.</t>
  </si>
  <si>
    <t>PM04457</t>
  </si>
  <si>
    <t>MAGLENTE, JOSEPHINE V.</t>
  </si>
  <si>
    <t>PM03928</t>
  </si>
  <si>
    <t>1PM - 10PM</t>
  </si>
  <si>
    <t>ALMONTEROS, RANIEL T.</t>
  </si>
  <si>
    <t>PM04472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</si>
  <si>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</si>
  <si>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</si>
  <si>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</si>
  <si>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</si>
  <si>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</si>
  <si>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</si>
  <si>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</si>
  <si>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</si>
  <si>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</si>
  <si>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</si>
  <si>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</si>
  <si>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RS = RESIGNED</t>
  </si>
  <si>
    <t>T = TRANSFERRED</t>
  </si>
  <si>
    <t>R = RELIEVED</t>
  </si>
  <si>
    <t>Note:</t>
  </si>
  <si>
    <t>S = SUSPENDED W/O RELIEVER</t>
  </si>
  <si>
    <t>SR = SUSPENDED W/ RELIEVER</t>
  </si>
  <si>
    <t xml:space="preserve">LH = LEGAL HOLIDAY </t>
  </si>
  <si>
    <t>SH = SPECIAL HOLIDAY</t>
  </si>
  <si>
    <t>7AM - 5PM</t>
  </si>
  <si>
    <t>A</t>
  </si>
  <si>
    <t>L</t>
  </si>
  <si>
    <t>LR</t>
  </si>
  <si>
    <t>RS</t>
  </si>
  <si>
    <t>R</t>
  </si>
  <si>
    <t>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</si>
</sst>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d\,\ yyyy"/>
  </numFmts>
  <fonts count="28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5" applyNumberFormat="0" applyAlignment="0" applyProtection="0">
      <alignment vertical="center"/>
    </xf>
    <xf numFmtId="0" fontId="18" fillId="6" borderId="36" applyNumberFormat="0" applyAlignment="0" applyProtection="0">
      <alignment vertical="center"/>
    </xf>
    <xf numFmtId="0" fontId="19" fillId="6" borderId="35" applyNumberFormat="0" applyAlignment="0" applyProtection="0">
      <alignment vertical="center"/>
    </xf>
    <xf numFmtId="0" fontId="20" fillId="7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8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176" fontId="4" fillId="2" borderId="15" xfId="0" applyNumberFormat="1" applyFont="1" applyFill="1" applyBorder="1" applyAlignment="1">
      <alignment horizontal="center" vertical="top" wrapText="1"/>
    </xf>
    <xf numFmtId="176" fontId="4" fillId="2" borderId="16" xfId="0" applyNumberFormat="1" applyFont="1" applyFill="1" applyBorder="1" applyAlignment="1">
      <alignment horizontal="center" vertical="top" wrapText="1"/>
    </xf>
    <xf numFmtId="176" fontId="4" fillId="2" borderId="0" xfId="0" applyNumberFormat="1" applyFont="1" applyFill="1" applyAlignment="1">
      <alignment horizontal="center" vertical="top" wrapText="1"/>
    </xf>
    <xf numFmtId="176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76" fontId="4" fillId="2" borderId="17" xfId="0" applyNumberFormat="1" applyFont="1" applyFill="1" applyBorder="1" applyAlignment="1">
      <alignment horizontal="center"/>
    </xf>
    <xf numFmtId="176" fontId="4" fillId="2" borderId="16" xfId="0" applyNumberFormat="1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0" xfId="0" applyFont="1" applyFill="1"/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3" borderId="2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center" vertical="center"/>
    </xf>
    <xf numFmtId="0" fontId="6" fillId="2" borderId="17" xfId="0" applyFont="1" applyFill="1" applyBorder="1"/>
    <xf numFmtId="0" fontId="4" fillId="2" borderId="17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3" tint="0.749961851863155"/>
        </patternFill>
      </fill>
    </dxf>
    <dxf>
      <font>
        <b val="1"/>
        <i val="0"/>
        <color rgb="FFFF0000"/>
      </font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FF6161"/>
      <color rgb="00DEE165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82245"/>
          <a:ext cx="1498600" cy="100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>
      <xdr:nvSpPr>
        <xdr:cNvPr id="2" name="TextBox 1"/>
        <xdr:cNvSpPr txBox="1"/>
      </xdr:nvSpPr>
      <xdr:spPr>
        <a:xfrm>
          <a:off x="19631660" y="981075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>
      <xdr:nvSpPr>
        <xdr:cNvPr id="3" name="TextBox 2"/>
        <xdr:cNvSpPr txBox="1"/>
      </xdr:nvSpPr>
      <xdr:spPr>
        <a:xfrm>
          <a:off x="18654395" y="981710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315595</xdr:colOff>
      <xdr:row>1</xdr:row>
      <xdr:rowOff>1682</xdr:rowOff>
    </xdr:from>
    <xdr:to>
      <xdr:col>2</xdr:col>
      <xdr:colOff>998220</xdr:colOff>
      <xdr:row>6</xdr:row>
      <xdr:rowOff>412</xdr:rowOff>
    </xdr:to>
    <xdr:pic>
      <xdr:nvPicPr>
        <xdr:cNvPr id="2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82245"/>
          <a:ext cx="1498600" cy="100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>
      <xdr:nvSpPr>
        <xdr:cNvPr id="3" name="TextBox 1"/>
        <xdr:cNvSpPr txBox="1"/>
      </xdr:nvSpPr>
      <xdr:spPr>
        <a:xfrm>
          <a:off x="19631660" y="981075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>
      <xdr:nvSpPr>
        <xdr:cNvPr id="4" name="TextBox 2"/>
        <xdr:cNvSpPr txBox="1"/>
      </xdr:nvSpPr>
      <xdr:spPr>
        <a:xfrm>
          <a:off x="18654395" y="981710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E50"/>
  <sheetViews>
    <sheetView view="pageBreakPreview" zoomScale="70" zoomScaleNormal="70" topLeftCell="C8" workbookViewId="0">
      <selection activeCell="K30" sqref="K30"/>
    </sheetView>
  </sheetViews>
  <sheetFormatPr defaultColWidth="9" defaultRowHeight="13.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4.1416666666667" style="2" customWidth="1"/>
    <col min="7" max="7" width="12" style="2" customWidth="1"/>
    <col min="8" max="23" width="5.70833333333333" style="2" customWidth="1"/>
    <col min="24" max="25" width="10.425" style="3" customWidth="1"/>
    <col min="26" max="26" width="13.7416666666667" style="3" customWidth="1"/>
    <col min="27" max="28" width="10.425" style="3" customWidth="1"/>
    <col min="29" max="29" width="11.2416666666667" style="3" customWidth="1"/>
    <col min="30" max="30" width="10.425" style="3" customWidth="1"/>
    <col min="31" max="31" width="10.425" style="2" customWidth="1"/>
    <col min="32" max="16384" width="9.14166666666667" style="2"/>
  </cols>
  <sheetData>
    <row r="1" ht="14.25"/>
    <row r="2" ht="15.75" spans="2:31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1"/>
    </row>
    <row r="3" ht="15.75" spans="2:31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72"/>
    </row>
    <row r="4" ht="15.75" spans="2:31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73"/>
    </row>
    <row r="5" ht="15.75" spans="2:31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2"/>
    </row>
    <row r="6" ht="16.5" customHeight="1" spans="2:31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74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6"/>
      <c r="J8" s="21"/>
      <c r="K8" s="21"/>
      <c r="L8" s="21"/>
    </row>
    <row r="9" ht="15" customHeight="1" spans="3:11">
      <c r="C9" s="22" t="s">
        <v>5</v>
      </c>
      <c r="D9" s="23">
        <v>45931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45945</v>
      </c>
      <c r="E10" s="28"/>
      <c r="F10" s="29"/>
      <c r="G10" s="30"/>
      <c r="H10" s="26"/>
      <c r="I10" s="26"/>
      <c r="J10" s="26"/>
      <c r="K10" s="26"/>
    </row>
    <row r="11" ht="14.25"/>
    <row r="12" ht="21.75" customHeight="1" spans="2:31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Wed</v>
      </c>
      <c r="I12" s="57" t="str">
        <f t="shared" ref="I12:W12" si="0">IF(COLUMN()-COLUMN($H$12)&lt;=$D$10-$D9+1,TEXT($D$9+COLUMN()-COLUMN($H$12),"ddd"),"")</f>
        <v>Thu</v>
      </c>
      <c r="J12" s="57" t="str">
        <f t="shared" si="0"/>
        <v>Fri</v>
      </c>
      <c r="K12" s="57" t="str">
        <f t="shared" si="0"/>
        <v>Sat</v>
      </c>
      <c r="L12" s="57" t="str">
        <f t="shared" si="0"/>
        <v>Sun</v>
      </c>
      <c r="M12" s="57" t="str">
        <f t="shared" si="0"/>
        <v>Mon</v>
      </c>
      <c r="N12" s="57" t="str">
        <f t="shared" si="0"/>
        <v>Tue</v>
      </c>
      <c r="O12" s="57" t="str">
        <f t="shared" si="0"/>
        <v>Wed</v>
      </c>
      <c r="P12" s="57" t="str">
        <f t="shared" si="0"/>
        <v>Thu</v>
      </c>
      <c r="Q12" s="57" t="str">
        <f t="shared" si="0"/>
        <v>Fri</v>
      </c>
      <c r="R12" s="57" t="str">
        <f t="shared" si="0"/>
        <v>Sat</v>
      </c>
      <c r="S12" s="57" t="str">
        <f t="shared" si="0"/>
        <v>Sun</v>
      </c>
      <c r="T12" s="57" t="str">
        <f t="shared" si="0"/>
        <v>Mon</v>
      </c>
      <c r="U12" s="57" t="str">
        <f t="shared" si="0"/>
        <v>Tue</v>
      </c>
      <c r="V12" s="57" t="str">
        <f t="shared" si="0"/>
        <v>Wed</v>
      </c>
      <c r="W12" s="61"/>
      <c r="X12" s="62" t="s">
        <v>13</v>
      </c>
      <c r="Y12" s="75" t="s">
        <v>13</v>
      </c>
      <c r="Z12" s="75" t="s">
        <v>14</v>
      </c>
      <c r="AA12" s="75" t="s">
        <v>15</v>
      </c>
      <c r="AB12" s="75" t="s">
        <v>16</v>
      </c>
      <c r="AC12" s="75" t="s">
        <v>17</v>
      </c>
      <c r="AD12" s="75" t="s">
        <v>18</v>
      </c>
      <c r="AE12" s="31" t="s">
        <v>19</v>
      </c>
    </row>
    <row r="13" customHeight="1" spans="2:31">
      <c r="B13" s="34"/>
      <c r="C13" s="34"/>
      <c r="D13" s="34"/>
      <c r="E13" s="34"/>
      <c r="F13" s="34"/>
      <c r="G13" s="35"/>
      <c r="H13" s="36">
        <f t="shared" ref="H13:W13" si="1">IF(COLUMN()-COLUMN($H$13)&lt;=$D$10-$D$9+1,DAY($D$9+COLUMN()-COLUMN($H$13)),"")</f>
        <v>1</v>
      </c>
      <c r="I13" s="58">
        <f t="shared" si="1"/>
        <v>2</v>
      </c>
      <c r="J13" s="58">
        <f t="shared" si="1"/>
        <v>3</v>
      </c>
      <c r="K13" s="58">
        <f t="shared" si="1"/>
        <v>4</v>
      </c>
      <c r="L13" s="58">
        <f t="shared" si="1"/>
        <v>5</v>
      </c>
      <c r="M13" s="58">
        <f t="shared" si="1"/>
        <v>6</v>
      </c>
      <c r="N13" s="58">
        <f t="shared" si="1"/>
        <v>7</v>
      </c>
      <c r="O13" s="58">
        <f t="shared" si="1"/>
        <v>8</v>
      </c>
      <c r="P13" s="58">
        <f t="shared" si="1"/>
        <v>9</v>
      </c>
      <c r="Q13" s="58">
        <f t="shared" si="1"/>
        <v>10</v>
      </c>
      <c r="R13" s="58">
        <f t="shared" si="1"/>
        <v>11</v>
      </c>
      <c r="S13" s="58">
        <f t="shared" si="1"/>
        <v>12</v>
      </c>
      <c r="T13" s="58">
        <f t="shared" si="1"/>
        <v>13</v>
      </c>
      <c r="U13" s="58">
        <f t="shared" si="1"/>
        <v>14</v>
      </c>
      <c r="V13" s="58">
        <f t="shared" si="1"/>
        <v>15</v>
      </c>
      <c r="W13" s="63"/>
      <c r="X13" s="64" t="s">
        <v>20</v>
      </c>
      <c r="Y13" s="31" t="s">
        <v>21</v>
      </c>
      <c r="Z13" s="31" t="s">
        <v>22</v>
      </c>
      <c r="AA13" s="31" t="s">
        <v>23</v>
      </c>
      <c r="AB13" s="31" t="s">
        <v>24</v>
      </c>
      <c r="AC13" s="31" t="s">
        <v>25</v>
      </c>
      <c r="AD13" s="31" t="s">
        <v>24</v>
      </c>
      <c r="AE13" s="34"/>
    </row>
    <row r="14" ht="11.25" customHeight="1" spans="2:31">
      <c r="B14" s="37"/>
      <c r="C14" s="37"/>
      <c r="D14" s="37"/>
      <c r="E14" s="37"/>
      <c r="F14" s="37"/>
      <c r="G14" s="38"/>
      <c r="H14" s="3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5"/>
      <c r="X14" s="66"/>
      <c r="Y14" s="37"/>
      <c r="Z14" s="37"/>
      <c r="AA14" s="37"/>
      <c r="AB14" s="37"/>
      <c r="AC14" s="37"/>
      <c r="AD14" s="37"/>
      <c r="AE14" s="37"/>
    </row>
    <row r="15" ht="24.95" customHeight="1" spans="2:31">
      <c r="B15" s="40">
        <f>ROW()-14</f>
        <v>1</v>
      </c>
      <c r="C15" s="41" t="s">
        <v>26</v>
      </c>
      <c r="D15" s="41" t="s">
        <v>27</v>
      </c>
      <c r="E15" s="41" t="s">
        <v>28</v>
      </c>
      <c r="F15" s="41" t="s">
        <v>29</v>
      </c>
      <c r="G15" s="42" t="s">
        <v>30</v>
      </c>
      <c r="H15" s="43">
        <v>12</v>
      </c>
      <c r="I15" s="44">
        <v>12</v>
      </c>
      <c r="J15" s="44"/>
      <c r="K15" s="44"/>
      <c r="L15" s="44" t="s">
        <v>31</v>
      </c>
      <c r="M15" s="44"/>
      <c r="N15" s="44"/>
      <c r="O15" s="44"/>
      <c r="P15" s="44"/>
      <c r="Q15" s="44"/>
      <c r="R15" s="44"/>
      <c r="S15" s="44" t="s">
        <v>31</v>
      </c>
      <c r="T15" s="44"/>
      <c r="U15" s="44"/>
      <c r="V15" s="44"/>
      <c r="W15" s="67"/>
      <c r="X15" s="68" cm="1">
        <f t="array" ref="X15">SUMPRODUCT(--ISNUMBER(H15:W15),--($H$14:$W$14&lt;&gt;"LH"),--($H$14:$W$14&lt;&gt;"SH"))</f>
        <v>2</v>
      </c>
      <c r="Y15" s="44">
        <f>X15*8</f>
        <v>16</v>
      </c>
      <c r="Z15" s="44"/>
      <c r="AA15" s="44">
        <f>SUM(H15:W15)-AB15-AD15-Y15</f>
        <v>8</v>
      </c>
      <c r="AB15" s="44">
        <f>SUMIF($H$14:$W$14,"LH",$H15:$W15)</f>
        <v>0</v>
      </c>
      <c r="AC15" s="44"/>
      <c r="AD15" s="44">
        <f>SUMIF($H$14:$W$14,"SH",$H15:$W15)</f>
        <v>0</v>
      </c>
      <c r="AE15" s="76"/>
    </row>
    <row r="16" ht="24.95" customHeight="1" spans="2:31">
      <c r="B16" s="40">
        <f>ROW()-14</f>
        <v>2</v>
      </c>
      <c r="C16" s="41" t="s">
        <v>32</v>
      </c>
      <c r="D16" s="41" t="s">
        <v>33</v>
      </c>
      <c r="E16" s="41" t="s">
        <v>34</v>
      </c>
      <c r="F16" s="41" t="s">
        <v>29</v>
      </c>
      <c r="G16" s="42" t="s">
        <v>35</v>
      </c>
      <c r="H16" s="43"/>
      <c r="I16" s="44"/>
      <c r="J16" s="44"/>
      <c r="K16" s="44"/>
      <c r="L16" s="44" t="s">
        <v>31</v>
      </c>
      <c r="M16" s="44"/>
      <c r="N16" s="44"/>
      <c r="O16" s="44"/>
      <c r="P16" s="44"/>
      <c r="Q16" s="44"/>
      <c r="R16" s="44"/>
      <c r="S16" s="44" t="s">
        <v>31</v>
      </c>
      <c r="T16" s="44"/>
      <c r="U16" s="44"/>
      <c r="V16" s="44"/>
      <c r="W16" s="67"/>
      <c r="X16" s="68" cm="1">
        <f t="array" ref="X16">SUMPRODUCT(--ISNUMBER(H16:W16),--($H$14:$W$14&lt;&gt;"LH"),--($H$14:$W$14&lt;&gt;"SH"))</f>
        <v>0</v>
      </c>
      <c r="Y16" s="44">
        <f>X16*8</f>
        <v>0</v>
      </c>
      <c r="Z16" s="44"/>
      <c r="AA16" s="44">
        <f>SUM(H16:W16)-AB16-AD16-Y16</f>
        <v>0</v>
      </c>
      <c r="AB16" s="44">
        <f>SUMIF($H$14:$W$14,"LH",$H16:$W16)</f>
        <v>0</v>
      </c>
      <c r="AC16" s="44"/>
      <c r="AD16" s="44">
        <f>SUMIF($H$14:$W$14,"SH",$H16:$W16)</f>
        <v>0</v>
      </c>
      <c r="AE16" s="76"/>
    </row>
    <row r="17" ht="24.95" customHeight="1" spans="2:31">
      <c r="B17" s="40">
        <f>ROW()-14</f>
        <v>3</v>
      </c>
      <c r="C17" s="41" t="s">
        <v>36</v>
      </c>
      <c r="D17" s="41" t="s">
        <v>37</v>
      </c>
      <c r="E17" s="41" t="s">
        <v>38</v>
      </c>
      <c r="F17" s="41" t="s">
        <v>29</v>
      </c>
      <c r="G17" s="42" t="s">
        <v>35</v>
      </c>
      <c r="H17" s="43">
        <v>8</v>
      </c>
      <c r="I17" s="44">
        <v>8</v>
      </c>
      <c r="J17" s="44"/>
      <c r="K17" s="44"/>
      <c r="L17" s="44" t="s">
        <v>31</v>
      </c>
      <c r="M17" s="44"/>
      <c r="N17" s="44"/>
      <c r="O17" s="44"/>
      <c r="P17" s="44"/>
      <c r="Q17" s="44"/>
      <c r="R17" s="44"/>
      <c r="S17" s="44" t="s">
        <v>31</v>
      </c>
      <c r="T17" s="44"/>
      <c r="U17" s="44"/>
      <c r="V17" s="44"/>
      <c r="W17" s="67"/>
      <c r="X17" s="68" cm="1">
        <f t="array" ref="X17">SUMPRODUCT(--ISNUMBER(H17:W17),--($H$14:$W$14&lt;&gt;"LH"),--($H$14:$W$14&lt;&gt;"SH"))</f>
        <v>2</v>
      </c>
      <c r="Y17" s="44">
        <f>X17*8</f>
        <v>16</v>
      </c>
      <c r="Z17" s="44"/>
      <c r="AA17" s="44">
        <f>SUM(H17:W17)-AB17-AD17-Y17</f>
        <v>0</v>
      </c>
      <c r="AB17" s="44">
        <f>SUMIF($H$14:$W$14,"LH",$H17:$W17)</f>
        <v>0</v>
      </c>
      <c r="AC17" s="44"/>
      <c r="AD17" s="44">
        <f>SUMIF($H$14:$W$14,"SH",$H17:$W17)</f>
        <v>0</v>
      </c>
      <c r="AE17" s="76"/>
    </row>
    <row r="18" ht="24.95" customHeight="1" spans="2:31">
      <c r="B18" s="40">
        <f>ROW()-14</f>
        <v>4</v>
      </c>
      <c r="C18" s="41" t="s">
        <v>39</v>
      </c>
      <c r="D18" s="41" t="s">
        <v>40</v>
      </c>
      <c r="E18" s="41" t="s">
        <v>38</v>
      </c>
      <c r="F18" s="41" t="s">
        <v>29</v>
      </c>
      <c r="G18" s="42" t="s">
        <v>41</v>
      </c>
      <c r="H18" s="43">
        <v>8</v>
      </c>
      <c r="I18" s="44">
        <v>8</v>
      </c>
      <c r="J18" s="44"/>
      <c r="K18" s="44"/>
      <c r="L18" s="44"/>
      <c r="M18" s="44" t="s">
        <v>31</v>
      </c>
      <c r="N18" s="44"/>
      <c r="O18" s="44"/>
      <c r="P18" s="44"/>
      <c r="Q18" s="44"/>
      <c r="R18" s="44"/>
      <c r="S18" s="44"/>
      <c r="T18" s="44" t="s">
        <v>31</v>
      </c>
      <c r="U18" s="44"/>
      <c r="V18" s="44"/>
      <c r="W18" s="67"/>
      <c r="X18" s="68" cm="1">
        <f t="array" ref="X18">SUMPRODUCT(--ISNUMBER(H18:W18),--($H$14:$W$14&lt;&gt;"LH"),--($H$14:$W$14&lt;&gt;"SH"))</f>
        <v>2</v>
      </c>
      <c r="Y18" s="44">
        <f>X18*8</f>
        <v>16</v>
      </c>
      <c r="Z18" s="44"/>
      <c r="AA18" s="44">
        <f>SUM(H18:W18)-AB18-AD18-Y18</f>
        <v>0</v>
      </c>
      <c r="AB18" s="44">
        <f>SUMIF($H$14:$W$14,"LH",$H18:$W18)</f>
        <v>0</v>
      </c>
      <c r="AC18" s="44"/>
      <c r="AD18" s="44">
        <f>SUMIF($H$14:$W$14,"SH",$H18:$W18)</f>
        <v>0</v>
      </c>
      <c r="AE18" s="76"/>
    </row>
    <row r="19" ht="24.95" customHeight="1" spans="2:31">
      <c r="B19" s="40">
        <f>ROW()-14</f>
        <v>5</v>
      </c>
      <c r="C19" s="41" t="s">
        <v>42</v>
      </c>
      <c r="D19" s="41" t="s">
        <v>43</v>
      </c>
      <c r="E19" s="41" t="s">
        <v>38</v>
      </c>
      <c r="F19" s="41" t="s">
        <v>29</v>
      </c>
      <c r="G19" s="42" t="s">
        <v>44</v>
      </c>
      <c r="H19" s="43">
        <v>8</v>
      </c>
      <c r="I19" s="44" t="s">
        <v>45</v>
      </c>
      <c r="J19" s="44" t="s">
        <v>45</v>
      </c>
      <c r="K19" s="44" t="s">
        <v>45</v>
      </c>
      <c r="L19" s="44" t="s">
        <v>45</v>
      </c>
      <c r="M19" s="44" t="s">
        <v>45</v>
      </c>
      <c r="N19" s="44" t="s">
        <v>45</v>
      </c>
      <c r="O19" s="44" t="s">
        <v>45</v>
      </c>
      <c r="P19" s="44" t="s">
        <v>45</v>
      </c>
      <c r="Q19" s="44" t="s">
        <v>45</v>
      </c>
      <c r="R19" s="44" t="s">
        <v>45</v>
      </c>
      <c r="S19" s="44" t="s">
        <v>45</v>
      </c>
      <c r="T19" s="44" t="s">
        <v>45</v>
      </c>
      <c r="U19" s="44" t="s">
        <v>45</v>
      </c>
      <c r="V19" s="44" t="s">
        <v>45</v>
      </c>
      <c r="W19" s="67"/>
      <c r="X19" s="68" cm="1">
        <f t="array" ref="X19">SUMPRODUCT(--ISNUMBER(H19:W19),--($H$14:$W$14&lt;&gt;"LH"),--($H$14:$W$14&lt;&gt;"SH"))</f>
        <v>1</v>
      </c>
      <c r="Y19" s="44">
        <f>X19*8</f>
        <v>8</v>
      </c>
      <c r="Z19" s="44"/>
      <c r="AA19" s="44">
        <f>SUM(H19:W19)-AB19-AD19-Y19</f>
        <v>0</v>
      </c>
      <c r="AB19" s="44">
        <f>SUMIF($H$14:$W$14,"LH",$H19:$W19)</f>
        <v>0</v>
      </c>
      <c r="AC19" s="44"/>
      <c r="AD19" s="44">
        <f>SUMIF($H$14:$W$14,"SH",$H19:$W19)</f>
        <v>0</v>
      </c>
      <c r="AE19" s="76"/>
    </row>
    <row r="20" ht="24.95" customHeight="1" spans="2:31">
      <c r="B20" s="40">
        <f>ROW()-14</f>
        <v>6</v>
      </c>
      <c r="C20" s="41" t="s">
        <v>46</v>
      </c>
      <c r="D20" s="41" t="s">
        <v>47</v>
      </c>
      <c r="E20" s="41" t="s">
        <v>38</v>
      </c>
      <c r="F20" s="41" t="s">
        <v>48</v>
      </c>
      <c r="G20" s="42" t="s">
        <v>49</v>
      </c>
      <c r="H20" s="43">
        <v>8</v>
      </c>
      <c r="I20" s="44" t="s">
        <v>50</v>
      </c>
      <c r="J20" s="44" t="s">
        <v>31</v>
      </c>
      <c r="K20" s="44"/>
      <c r="L20" s="44" t="s">
        <v>45</v>
      </c>
      <c r="M20" s="44" t="s">
        <v>45</v>
      </c>
      <c r="N20" s="44" t="s">
        <v>45</v>
      </c>
      <c r="O20" s="44" t="s">
        <v>45</v>
      </c>
      <c r="P20" s="44" t="s">
        <v>45</v>
      </c>
      <c r="Q20" s="44" t="s">
        <v>45</v>
      </c>
      <c r="R20" s="44" t="s">
        <v>45</v>
      </c>
      <c r="S20" s="44" t="s">
        <v>45</v>
      </c>
      <c r="T20" s="44" t="s">
        <v>45</v>
      </c>
      <c r="U20" s="44" t="s">
        <v>45</v>
      </c>
      <c r="V20" s="44" t="s">
        <v>45</v>
      </c>
      <c r="W20" s="67"/>
      <c r="X20" s="68" cm="1">
        <f t="array" ref="X20">SUMPRODUCT(--ISNUMBER(H20:W20),--($H$14:$W$14&lt;&gt;"LH"),--($H$14:$W$14&lt;&gt;"SH"))</f>
        <v>1</v>
      </c>
      <c r="Y20" s="44">
        <f>X20*8</f>
        <v>8</v>
      </c>
      <c r="Z20" s="44"/>
      <c r="AA20" s="44">
        <f>SUM(H20:W20)-AB20-AD20-Y20</f>
        <v>0</v>
      </c>
      <c r="AB20" s="44">
        <f>SUMIF($H$14:$W$14,"LH",$H20:$W20)</f>
        <v>0</v>
      </c>
      <c r="AC20" s="44"/>
      <c r="AD20" s="44">
        <f>SUMIF($H$14:$W$14,"SH",$H20:$W20)</f>
        <v>0</v>
      </c>
      <c r="AE20" s="76"/>
    </row>
    <row r="21" ht="24.95" customHeight="1" spans="2:31">
      <c r="B21" s="40">
        <f>ROW()-14</f>
        <v>7</v>
      </c>
      <c r="C21" s="41" t="s">
        <v>51</v>
      </c>
      <c r="D21" s="41" t="s">
        <v>52</v>
      </c>
      <c r="E21" s="41" t="s">
        <v>38</v>
      </c>
      <c r="F21" s="41" t="s">
        <v>48</v>
      </c>
      <c r="G21" s="42" t="s">
        <v>49</v>
      </c>
      <c r="H21" s="43" t="s">
        <v>50</v>
      </c>
      <c r="I21" s="44">
        <v>8</v>
      </c>
      <c r="J21" s="44"/>
      <c r="K21" s="44"/>
      <c r="L21" s="44" t="s">
        <v>45</v>
      </c>
      <c r="M21" s="44" t="s">
        <v>45</v>
      </c>
      <c r="N21" s="44" t="s">
        <v>45</v>
      </c>
      <c r="O21" s="44" t="s">
        <v>45</v>
      </c>
      <c r="P21" s="44" t="s">
        <v>45</v>
      </c>
      <c r="Q21" s="44" t="s">
        <v>45</v>
      </c>
      <c r="R21" s="44" t="s">
        <v>45</v>
      </c>
      <c r="S21" s="44" t="s">
        <v>45</v>
      </c>
      <c r="T21" s="44" t="s">
        <v>45</v>
      </c>
      <c r="U21" s="44" t="s">
        <v>45</v>
      </c>
      <c r="V21" s="44" t="s">
        <v>45</v>
      </c>
      <c r="W21" s="67"/>
      <c r="X21" s="68" cm="1">
        <f t="array" ref="X21">SUMPRODUCT(--ISNUMBER(H21:W21),--($H$14:$W$14&lt;&gt;"LH"),--($H$14:$W$14&lt;&gt;"SH"))</f>
        <v>1</v>
      </c>
      <c r="Y21" s="44">
        <f>X21*8</f>
        <v>8</v>
      </c>
      <c r="Z21" s="44"/>
      <c r="AA21" s="44">
        <f>SUM(H21:W21)-AB21-AD21-Y21</f>
        <v>0</v>
      </c>
      <c r="AB21" s="44">
        <f>SUMIF($H$14:$W$14,"LH",$H21:$W21)</f>
        <v>0</v>
      </c>
      <c r="AC21" s="44"/>
      <c r="AD21" s="44">
        <f>SUMIF($H$14:$W$14,"SH",$H21:$W21)</f>
        <v>0</v>
      </c>
      <c r="AE21" s="76"/>
    </row>
    <row r="22" ht="24.95" customHeight="1" spans="2:31">
      <c r="B22" s="40">
        <f>ROW()-14</f>
        <v>8</v>
      </c>
      <c r="C22" s="41" t="s">
        <v>53</v>
      </c>
      <c r="D22" s="41" t="s">
        <v>54</v>
      </c>
      <c r="E22" s="41" t="s">
        <v>38</v>
      </c>
      <c r="F22" s="41" t="s">
        <v>48</v>
      </c>
      <c r="G22" s="42" t="s">
        <v>55</v>
      </c>
      <c r="H22" s="43">
        <v>8</v>
      </c>
      <c r="I22" s="44">
        <v>8</v>
      </c>
      <c r="J22" s="44"/>
      <c r="K22" s="44"/>
      <c r="L22" s="44" t="s">
        <v>31</v>
      </c>
      <c r="M22" s="44"/>
      <c r="N22" s="44"/>
      <c r="O22" s="44"/>
      <c r="P22" s="44"/>
      <c r="Q22" s="44"/>
      <c r="R22" s="44"/>
      <c r="S22" s="44" t="s">
        <v>31</v>
      </c>
      <c r="T22" s="44"/>
      <c r="U22" s="44"/>
      <c r="V22" s="44"/>
      <c r="W22" s="67"/>
      <c r="X22" s="68" cm="1">
        <f t="array" ref="X22">SUMPRODUCT(--ISNUMBER(H22:W22),--($H$14:$W$14&lt;&gt;"LH"),--($H$14:$W$14&lt;&gt;"SH"))</f>
        <v>2</v>
      </c>
      <c r="Y22" s="44">
        <f>X22*8</f>
        <v>16</v>
      </c>
      <c r="Z22" s="44"/>
      <c r="AA22" s="44">
        <f>SUM(H22:W22)-AB22-AD22-Y22</f>
        <v>0</v>
      </c>
      <c r="AB22" s="44">
        <f>SUMIF($H$14:$W$14,"LH",$H22:$W22)</f>
        <v>0</v>
      </c>
      <c r="AC22" s="44"/>
      <c r="AD22" s="44">
        <f>SUMIF($H$14:$W$14,"SH",$H22:$W22)</f>
        <v>0</v>
      </c>
      <c r="AE22" s="76"/>
    </row>
    <row r="23" ht="24.95" customHeight="1" spans="2:31">
      <c r="B23" s="40">
        <f>ROW()-14</f>
        <v>9</v>
      </c>
      <c r="C23" s="41" t="s">
        <v>56</v>
      </c>
      <c r="D23" s="41" t="s">
        <v>57</v>
      </c>
      <c r="E23" s="41" t="s">
        <v>38</v>
      </c>
      <c r="F23" s="41" t="s">
        <v>29</v>
      </c>
      <c r="G23" s="42" t="s">
        <v>41</v>
      </c>
      <c r="H23" s="43"/>
      <c r="I23" s="44"/>
      <c r="J23" s="44"/>
      <c r="K23" s="44"/>
      <c r="L23" s="44"/>
      <c r="M23" s="44"/>
      <c r="N23" s="44" t="s">
        <v>31</v>
      </c>
      <c r="O23" s="44"/>
      <c r="P23" s="44"/>
      <c r="Q23" s="44"/>
      <c r="R23" s="44"/>
      <c r="S23" s="44"/>
      <c r="T23" s="44"/>
      <c r="U23" s="44" t="s">
        <v>31</v>
      </c>
      <c r="V23" s="44"/>
      <c r="W23" s="67"/>
      <c r="X23" s="68" cm="1">
        <f t="array" ref="X23">SUMPRODUCT(--ISNUMBER(H23:W23),--($H$14:$W$14&lt;&gt;"LH"),--($H$14:$W$14&lt;&gt;"SH"))</f>
        <v>0</v>
      </c>
      <c r="Y23" s="44">
        <f>X23*8</f>
        <v>0</v>
      </c>
      <c r="Z23" s="44"/>
      <c r="AA23" s="44">
        <f>SUM(H23:W23)-AB23-AD23-Y23</f>
        <v>0</v>
      </c>
      <c r="AB23" s="44">
        <f>SUMIF($H$14:$W$14,"LH",$H23:$W23)</f>
        <v>0</v>
      </c>
      <c r="AC23" s="44"/>
      <c r="AD23" s="44">
        <f>SUMIF($H$14:$W$14,"SH",$H23:$W23)</f>
        <v>0</v>
      </c>
      <c r="AE23" s="76"/>
    </row>
    <row r="24" ht="24.95" customHeight="1" spans="2:31">
      <c r="B24" s="40">
        <f>ROW()-14</f>
        <v>10</v>
      </c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67"/>
      <c r="X24" s="68" cm="1">
        <f t="array" ref="X24">SUMPRODUCT(--ISNUMBER(H24:W24),--($H$14:$W$14&lt;&gt;"LH"),--($H$14:$W$14&lt;&gt;"SH"))</f>
        <v>0</v>
      </c>
      <c r="Y24" s="44">
        <f>X24*8</f>
        <v>0</v>
      </c>
      <c r="Z24" s="44"/>
      <c r="AA24" s="44">
        <f>SUM(H24:W24)-AB24-AD24-Y24</f>
        <v>0</v>
      </c>
      <c r="AB24" s="44">
        <f>SUMIF($H$14:$W$14,"LH",$H24:$W24)</f>
        <v>0</v>
      </c>
      <c r="AC24" s="44"/>
      <c r="AD24" s="44">
        <f>SUMIF($H$14:$W$14,"SH",$H24:$W24)</f>
        <v>0</v>
      </c>
      <c r="AE24" s="76"/>
    </row>
    <row r="25" ht="24.95" customHeight="1" spans="2:31">
      <c r="B25" s="40">
        <f>ROW()-14</f>
        <v>11</v>
      </c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67"/>
      <c r="X25" s="68" cm="1">
        <f t="array" ref="X25">SUMPRODUCT(--ISNUMBER(H25:W25),--($H$14:$W$14&lt;&gt;"LH"),--($H$14:$W$14&lt;&gt;"SH"))</f>
        <v>0</v>
      </c>
      <c r="Y25" s="44">
        <f>X25*8</f>
        <v>0</v>
      </c>
      <c r="Z25" s="44"/>
      <c r="AA25" s="44">
        <f>SUM(H25:W25)-AB25-AD25-Y25</f>
        <v>0</v>
      </c>
      <c r="AB25" s="44">
        <f>SUMIF($H$14:$W$14,"LH",$H25:$W25)</f>
        <v>0</v>
      </c>
      <c r="AC25" s="44"/>
      <c r="AD25" s="44">
        <f>SUMIF($H$14:$W$14,"SH",$H25:$W25)</f>
        <v>0</v>
      </c>
      <c r="AE25" s="76"/>
    </row>
    <row r="26" ht="24.95" customHeight="1" spans="2:31">
      <c r="B26" s="40">
        <f t="shared" ref="B26:B34" si="2">ROW()-14</f>
        <v>12</v>
      </c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67"/>
      <c r="X26" s="68" cm="1">
        <f t="array" ref="X26">SUMPRODUCT(--ISNUMBER(H26:W26),--($H$14:$W$14&lt;&gt;"LH"),--($H$14:$W$14&lt;&gt;"SH"))</f>
        <v>0</v>
      </c>
      <c r="Y26" s="44">
        <f t="shared" ref="Y26:Y34" si="3">X26*8</f>
        <v>0</v>
      </c>
      <c r="Z26" s="44"/>
      <c r="AA26" s="44">
        <f t="shared" ref="AA26:AA34" si="4">SUM(H26:W26)-AB26-AD26-Y26</f>
        <v>0</v>
      </c>
      <c r="AB26" s="44">
        <f t="shared" ref="AB26:AB34" si="5">SUMIF($H$14:$W$14,"LH",$H26:$W26)</f>
        <v>0</v>
      </c>
      <c r="AC26" s="44"/>
      <c r="AD26" s="44">
        <f t="shared" ref="AD26:AD34" si="6">SUMIF($H$14:$W$14,"SH",$H26:$W26)</f>
        <v>0</v>
      </c>
      <c r="AE26" s="76"/>
    </row>
    <row r="27" ht="24.95" customHeight="1" spans="2:31">
      <c r="B27" s="40">
        <f t="shared" si="2"/>
        <v>13</v>
      </c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67"/>
      <c r="X27" s="68" cm="1">
        <f t="array" ref="X27">SUMPRODUCT(--ISNUMBER(H27:W27),--($H$14:$W$14&lt;&gt;"LH"),--($H$14:$W$14&lt;&gt;"SH"))</f>
        <v>0</v>
      </c>
      <c r="Y27" s="44">
        <f t="shared" si="3"/>
        <v>0</v>
      </c>
      <c r="Z27" s="44"/>
      <c r="AA27" s="44">
        <f t="shared" si="4"/>
        <v>0</v>
      </c>
      <c r="AB27" s="44">
        <f t="shared" si="5"/>
        <v>0</v>
      </c>
      <c r="AC27" s="44"/>
      <c r="AD27" s="44">
        <f t="shared" si="6"/>
        <v>0</v>
      </c>
      <c r="AE27" s="76"/>
    </row>
    <row r="28" ht="24.95" customHeight="1" spans="2:31">
      <c r="B28" s="40">
        <f t="shared" si="2"/>
        <v>14</v>
      </c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67"/>
      <c r="X28" s="68" cm="1">
        <f t="array" ref="X28">SUMPRODUCT(--ISNUMBER(H28:W28),--($H$14:$W$14&lt;&gt;"LH"),--($H$14:$W$14&lt;&gt;"SH"))</f>
        <v>0</v>
      </c>
      <c r="Y28" s="44">
        <f t="shared" si="3"/>
        <v>0</v>
      </c>
      <c r="Z28" s="44"/>
      <c r="AA28" s="44">
        <f t="shared" si="4"/>
        <v>0</v>
      </c>
      <c r="AB28" s="44">
        <f t="shared" si="5"/>
        <v>0</v>
      </c>
      <c r="AC28" s="44"/>
      <c r="AD28" s="44">
        <f t="shared" si="6"/>
        <v>0</v>
      </c>
      <c r="AE28" s="76"/>
    </row>
    <row r="29" ht="24.95" customHeight="1" spans="2:31">
      <c r="B29" s="40">
        <f t="shared" si="2"/>
        <v>15</v>
      </c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67"/>
      <c r="X29" s="68" cm="1">
        <f t="array" ref="X29">SUMPRODUCT(--ISNUMBER(H29:W29),--($H$14:$W$14&lt;&gt;"LH"),--($H$14:$W$14&lt;&gt;"SH"))</f>
        <v>0</v>
      </c>
      <c r="Y29" s="44">
        <f t="shared" si="3"/>
        <v>0</v>
      </c>
      <c r="Z29" s="44"/>
      <c r="AA29" s="44">
        <f t="shared" si="4"/>
        <v>0</v>
      </c>
      <c r="AB29" s="44">
        <f t="shared" si="5"/>
        <v>0</v>
      </c>
      <c r="AC29" s="44"/>
      <c r="AD29" s="44">
        <f t="shared" si="6"/>
        <v>0</v>
      </c>
      <c r="AE29" s="76"/>
    </row>
    <row r="30" ht="24.95" customHeight="1" spans="2:31">
      <c r="B30" s="40">
        <f t="shared" si="2"/>
        <v>16</v>
      </c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67"/>
      <c r="X30" s="68" cm="1">
        <f t="array" ref="X30">SUMPRODUCT(--ISNUMBER(H30:W30),--($H$14:$W$14&lt;&gt;"LH"),--($H$14:$W$14&lt;&gt;"SH"))</f>
        <v>0</v>
      </c>
      <c r="Y30" s="44">
        <f t="shared" si="3"/>
        <v>0</v>
      </c>
      <c r="Z30" s="44"/>
      <c r="AA30" s="44">
        <f t="shared" si="4"/>
        <v>0</v>
      </c>
      <c r="AB30" s="44">
        <f t="shared" si="5"/>
        <v>0</v>
      </c>
      <c r="AC30" s="44"/>
      <c r="AD30" s="44">
        <f t="shared" si="6"/>
        <v>0</v>
      </c>
      <c r="AE30" s="76"/>
    </row>
    <row r="31" ht="24.95" customHeight="1" spans="2:31">
      <c r="B31" s="40">
        <f t="shared" si="2"/>
        <v>17</v>
      </c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67"/>
      <c r="X31" s="68" cm="1">
        <f t="array" ref="X31">SUMPRODUCT(--ISNUMBER(H31:W31),--($H$14:$W$14&lt;&gt;"LH"),--($H$14:$W$14&lt;&gt;"SH"))</f>
        <v>0</v>
      </c>
      <c r="Y31" s="44">
        <f t="shared" si="3"/>
        <v>0</v>
      </c>
      <c r="Z31" s="44"/>
      <c r="AA31" s="44">
        <f t="shared" si="4"/>
        <v>0</v>
      </c>
      <c r="AB31" s="44">
        <f t="shared" si="5"/>
        <v>0</v>
      </c>
      <c r="AC31" s="44"/>
      <c r="AD31" s="44">
        <f t="shared" si="6"/>
        <v>0</v>
      </c>
      <c r="AE31" s="76"/>
    </row>
    <row r="32" ht="24.95" customHeight="1" spans="2:31">
      <c r="B32" s="40">
        <f t="shared" si="2"/>
        <v>18</v>
      </c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67"/>
      <c r="X32" s="68" cm="1">
        <f t="array" ref="X32">SUMPRODUCT(--ISNUMBER(H32:W32),--($H$14:$W$14&lt;&gt;"LH"),--($H$14:$W$14&lt;&gt;"SH"))</f>
        <v>0</v>
      </c>
      <c r="Y32" s="44">
        <f t="shared" si="3"/>
        <v>0</v>
      </c>
      <c r="Z32" s="44"/>
      <c r="AA32" s="44">
        <f t="shared" si="4"/>
        <v>0</v>
      </c>
      <c r="AB32" s="44">
        <f t="shared" si="5"/>
        <v>0</v>
      </c>
      <c r="AC32" s="44"/>
      <c r="AD32" s="44">
        <f t="shared" si="6"/>
        <v>0</v>
      </c>
      <c r="AE32" s="76"/>
    </row>
    <row r="33" ht="24.95" customHeight="1" spans="2:31">
      <c r="B33" s="40">
        <f t="shared" si="2"/>
        <v>19</v>
      </c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67"/>
      <c r="X33" s="68" cm="1">
        <f t="array" ref="X33">SUMPRODUCT(--ISNUMBER(H33:W33),--($H$14:$W$14&lt;&gt;"LH"),--($H$14:$W$14&lt;&gt;"SH"))</f>
        <v>0</v>
      </c>
      <c r="Y33" s="44">
        <f t="shared" si="3"/>
        <v>0</v>
      </c>
      <c r="Z33" s="44"/>
      <c r="AA33" s="44">
        <f t="shared" si="4"/>
        <v>0</v>
      </c>
      <c r="AB33" s="44">
        <f t="shared" si="5"/>
        <v>0</v>
      </c>
      <c r="AC33" s="44"/>
      <c r="AD33" s="44">
        <f t="shared" si="6"/>
        <v>0</v>
      </c>
      <c r="AE33" s="76"/>
    </row>
    <row r="34" ht="24.95" customHeight="1" spans="2:31">
      <c r="B34" s="40">
        <f t="shared" si="2"/>
        <v>20</v>
      </c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67"/>
      <c r="X34" s="68" cm="1">
        <f t="array" ref="X34">SUMPRODUCT(--ISNUMBER(H34:W34),--($H$14:$W$14&lt;&gt;"LH"),--($H$14:$W$14&lt;&gt;"SH"))</f>
        <v>0</v>
      </c>
      <c r="Y34" s="44">
        <f t="shared" si="3"/>
        <v>0</v>
      </c>
      <c r="Z34" s="44"/>
      <c r="AA34" s="44">
        <f t="shared" si="4"/>
        <v>0</v>
      </c>
      <c r="AB34" s="44">
        <f t="shared" si="5"/>
        <v>0</v>
      </c>
      <c r="AC34" s="44"/>
      <c r="AD34" s="44">
        <f t="shared" si="6"/>
        <v>0</v>
      </c>
      <c r="AE34" s="76"/>
    </row>
    <row r="35" ht="22.5" customHeight="1" spans="2:31">
      <c r="B35" s="44"/>
      <c r="C35" s="41"/>
      <c r="D35" s="41"/>
      <c r="E35" s="18" t="s">
        <v>58</v>
      </c>
      <c r="F35" s="19"/>
      <c r="G35" s="18">
        <f>SUM(H35:W35)</f>
        <v>11</v>
      </c>
      <c r="H35" s="45">
        <f>COUNT(H15:H34)</f>
        <v>6</v>
      </c>
      <c r="I35" s="45">
        <f t="shared" ref="I35:W35" si="7">COUNT(I15:I34)</f>
        <v>5</v>
      </c>
      <c r="J35" s="45">
        <f t="shared" si="7"/>
        <v>0</v>
      </c>
      <c r="K35" s="45">
        <f t="shared" si="7"/>
        <v>0</v>
      </c>
      <c r="L35" s="45">
        <f t="shared" si="7"/>
        <v>0</v>
      </c>
      <c r="M35" s="45">
        <f t="shared" si="7"/>
        <v>0</v>
      </c>
      <c r="N35" s="45">
        <f t="shared" si="7"/>
        <v>0</v>
      </c>
      <c r="O35" s="45">
        <f t="shared" si="7"/>
        <v>0</v>
      </c>
      <c r="P35" s="45">
        <f t="shared" si="7"/>
        <v>0</v>
      </c>
      <c r="Q35" s="45">
        <f t="shared" si="7"/>
        <v>0</v>
      </c>
      <c r="R35" s="45">
        <f t="shared" si="7"/>
        <v>0</v>
      </c>
      <c r="S35" s="45">
        <f t="shared" si="7"/>
        <v>0</v>
      </c>
      <c r="T35" s="45">
        <f t="shared" si="7"/>
        <v>0</v>
      </c>
      <c r="U35" s="45">
        <f t="shared" si="7"/>
        <v>0</v>
      </c>
      <c r="V35" s="45">
        <f t="shared" si="7"/>
        <v>0</v>
      </c>
      <c r="W35" s="45">
        <f t="shared" si="7"/>
        <v>0</v>
      </c>
      <c r="X35" s="69">
        <f t="shared" ref="X35:AE35" si="8">SUM(X15:X34)</f>
        <v>11</v>
      </c>
      <c r="Y35" s="77">
        <f t="shared" si="8"/>
        <v>88</v>
      </c>
      <c r="Z35" s="77">
        <f t="shared" si="8"/>
        <v>0</v>
      </c>
      <c r="AA35" s="77">
        <f t="shared" si="8"/>
        <v>8</v>
      </c>
      <c r="AB35" s="77">
        <f t="shared" si="8"/>
        <v>0</v>
      </c>
      <c r="AC35" s="77">
        <f t="shared" si="8"/>
        <v>0</v>
      </c>
      <c r="AD35" s="77">
        <f t="shared" si="8"/>
        <v>0</v>
      </c>
      <c r="AE35" s="77">
        <f t="shared" si="8"/>
        <v>0</v>
      </c>
    </row>
    <row r="37" ht="15.75" spans="2:31">
      <c r="B37" s="46" t="s">
        <v>59</v>
      </c>
      <c r="H37" s="47" t="s">
        <v>60</v>
      </c>
      <c r="I37" s="47"/>
      <c r="J37" s="47"/>
      <c r="K37" s="47"/>
      <c r="R37" s="47" t="s">
        <v>61</v>
      </c>
      <c r="S37" s="47"/>
      <c r="T37" s="47"/>
      <c r="U37" s="47"/>
      <c r="Z37" s="78"/>
      <c r="AA37" s="53" t="s">
        <v>62</v>
      </c>
      <c r="AB37" s="79"/>
      <c r="AC37" s="80"/>
      <c r="AD37" s="81"/>
      <c r="AE37" s="78"/>
    </row>
    <row r="38" ht="15.75" spans="21:31">
      <c r="U38" s="54"/>
      <c r="Z38" s="81"/>
      <c r="AA38" s="55" t="s">
        <v>63</v>
      </c>
      <c r="AB38" s="82"/>
      <c r="AC38" s="83"/>
      <c r="AD38" s="81"/>
      <c r="AE38" s="54"/>
    </row>
    <row r="39" ht="15.75" spans="21:31">
      <c r="U39" s="54"/>
      <c r="Z39" s="81"/>
      <c r="AA39" s="55" t="s">
        <v>64</v>
      </c>
      <c r="AB39" s="82"/>
      <c r="AC39" s="83"/>
      <c r="AD39" s="81"/>
      <c r="AE39" s="54"/>
    </row>
    <row r="40" ht="15.75" spans="2:31">
      <c r="B40" s="48"/>
      <c r="C40" s="48"/>
      <c r="D40" s="48"/>
      <c r="E40" s="49"/>
      <c r="F40" s="49"/>
      <c r="G40" s="49"/>
      <c r="H40" s="48"/>
      <c r="I40" s="48"/>
      <c r="J40" s="48"/>
      <c r="K40" s="48"/>
      <c r="L40" s="48"/>
      <c r="M40" s="48"/>
      <c r="N40" s="48"/>
      <c r="O40" s="60"/>
      <c r="P40" s="60"/>
      <c r="Q40" s="60"/>
      <c r="R40" s="48"/>
      <c r="S40" s="48"/>
      <c r="T40" s="48"/>
      <c r="U40" s="48"/>
      <c r="V40" s="48"/>
      <c r="W40" s="48"/>
      <c r="X40" s="48"/>
      <c r="Z40" s="81"/>
      <c r="AA40" s="55" t="s">
        <v>65</v>
      </c>
      <c r="AB40" s="82"/>
      <c r="AC40" s="83"/>
      <c r="AD40" s="81"/>
      <c r="AE40" s="54"/>
    </row>
    <row r="41" ht="15.75" customHeight="1" spans="2:31">
      <c r="B41" s="50" t="s">
        <v>28</v>
      </c>
      <c r="C41" s="50"/>
      <c r="D41" s="50"/>
      <c r="H41" s="51" t="s">
        <v>66</v>
      </c>
      <c r="I41" s="51"/>
      <c r="J41" s="51"/>
      <c r="K41" s="51"/>
      <c r="L41" s="51"/>
      <c r="M41" s="51"/>
      <c r="N41" s="51"/>
      <c r="O41" s="21"/>
      <c r="P41" s="21"/>
      <c r="Q41" s="21"/>
      <c r="R41" s="51" t="s">
        <v>67</v>
      </c>
      <c r="S41" s="51"/>
      <c r="T41" s="51"/>
      <c r="U41" s="51"/>
      <c r="V41" s="51"/>
      <c r="W41" s="51"/>
      <c r="X41" s="51"/>
      <c r="Z41" s="81"/>
      <c r="AA41" s="55" t="s">
        <v>68</v>
      </c>
      <c r="AB41" s="55"/>
      <c r="AC41" s="81"/>
      <c r="AD41" s="81"/>
      <c r="AE41" s="54"/>
    </row>
    <row r="42" ht="15.75" spans="21:31">
      <c r="U42" s="54"/>
      <c r="Z42" s="81"/>
      <c r="AA42" s="55" t="s">
        <v>69</v>
      </c>
      <c r="AB42" s="82"/>
      <c r="AC42" s="83"/>
      <c r="AD42" s="81"/>
      <c r="AE42" s="54"/>
    </row>
    <row r="43" ht="15.75" spans="21:31">
      <c r="U43" s="54"/>
      <c r="Z43" s="81"/>
      <c r="AA43" s="55" t="s">
        <v>70</v>
      </c>
      <c r="AB43" s="55"/>
      <c r="AC43" s="81"/>
      <c r="AD43" s="81"/>
      <c r="AE43" s="54"/>
    </row>
    <row r="44" ht="15.75" spans="2:31">
      <c r="B44" s="52"/>
      <c r="C44" s="52"/>
      <c r="D44" s="52"/>
      <c r="E44" s="52"/>
      <c r="F44" s="52"/>
      <c r="G44" s="52"/>
      <c r="H44" s="52"/>
      <c r="I44" s="54"/>
      <c r="J44" s="54"/>
      <c r="K44" s="52"/>
      <c r="L44" s="52"/>
      <c r="M44" s="54"/>
      <c r="U44" s="55"/>
      <c r="Z44" s="81"/>
      <c r="AA44" s="55" t="s">
        <v>71</v>
      </c>
      <c r="AB44" s="55"/>
      <c r="AC44" s="81"/>
      <c r="AD44" s="81"/>
      <c r="AE44" s="54"/>
    </row>
    <row r="45" ht="15.75" spans="2:31">
      <c r="B45" s="52" t="s">
        <v>72</v>
      </c>
      <c r="C45" s="53"/>
      <c r="D45" s="53"/>
      <c r="E45" s="53"/>
      <c r="F45" s="53"/>
      <c r="G45" s="53"/>
      <c r="H45" s="53"/>
      <c r="I45" s="53"/>
      <c r="J45" s="55"/>
      <c r="K45" s="55"/>
      <c r="L45" s="53"/>
      <c r="M45" s="53"/>
      <c r="N45" s="54"/>
      <c r="O45" s="52"/>
      <c r="U45" s="54"/>
      <c r="Z45" s="81"/>
      <c r="AA45" s="84" t="s">
        <v>73</v>
      </c>
      <c r="AB45" s="85"/>
      <c r="AC45" s="86"/>
      <c r="AD45" s="81"/>
      <c r="AE45" s="54"/>
    </row>
    <row r="46" ht="15.75" spans="2:31">
      <c r="B46" s="54"/>
      <c r="C46" s="53"/>
      <c r="D46" s="55"/>
      <c r="E46" s="55"/>
      <c r="F46" s="55"/>
      <c r="G46" s="55"/>
      <c r="H46" s="55"/>
      <c r="I46" s="55"/>
      <c r="J46" s="55"/>
      <c r="K46" s="55"/>
      <c r="L46" s="53"/>
      <c r="M46" s="53"/>
      <c r="N46" s="54"/>
      <c r="O46" s="52"/>
      <c r="U46" s="54"/>
      <c r="Z46" s="81"/>
      <c r="AA46" s="84" t="s">
        <v>74</v>
      </c>
      <c r="AB46" s="85"/>
      <c r="AC46" s="86"/>
      <c r="AD46" s="86"/>
      <c r="AE46" s="54"/>
    </row>
    <row r="47" ht="15.75" spans="2:31">
      <c r="B47" s="54"/>
      <c r="C47" s="53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4"/>
      <c r="O47" s="52"/>
      <c r="U47" s="54"/>
      <c r="Z47" s="81"/>
      <c r="AA47" s="55" t="s">
        <v>75</v>
      </c>
      <c r="AB47" s="82"/>
      <c r="AC47" s="83"/>
      <c r="AE47" s="54"/>
    </row>
    <row r="48" ht="15.75" spans="21:31">
      <c r="U48" s="54"/>
      <c r="Z48" s="86"/>
      <c r="AA48" s="55" t="s">
        <v>76</v>
      </c>
      <c r="AB48" s="55"/>
      <c r="AC48" s="81"/>
      <c r="AE48" s="87"/>
    </row>
    <row r="49" ht="15.75" spans="2:31">
      <c r="B49" s="46"/>
      <c r="C49" s="46"/>
      <c r="D49" s="46"/>
      <c r="E49" s="46"/>
      <c r="F49" s="46"/>
      <c r="G49" s="46"/>
      <c r="H49" s="46"/>
      <c r="I49" s="46"/>
      <c r="U49" s="70"/>
      <c r="Z49" s="86"/>
      <c r="AD49" s="86"/>
      <c r="AE49" s="87"/>
    </row>
    <row r="50" ht="15.75" spans="21:31">
      <c r="U50" s="70"/>
      <c r="Z50" s="86"/>
      <c r="AD50" s="86"/>
      <c r="AE50" s="87"/>
    </row>
  </sheetData>
  <sheetProtection insertRows="0"/>
  <mergeCells count="29">
    <mergeCell ref="C6:AE6"/>
    <mergeCell ref="C8:F8"/>
    <mergeCell ref="D9:E9"/>
    <mergeCell ref="D10:E10"/>
    <mergeCell ref="E35:F35"/>
    <mergeCell ref="H37:K37"/>
    <mergeCell ref="R37:U37"/>
    <mergeCell ref="B40:D40"/>
    <mergeCell ref="H40:N40"/>
    <mergeCell ref="R40:X40"/>
    <mergeCell ref="B41:D41"/>
    <mergeCell ref="H41:N41"/>
    <mergeCell ref="R41:X41"/>
    <mergeCell ref="B12:B14"/>
    <mergeCell ref="C12:C14"/>
    <mergeCell ref="D12:D14"/>
    <mergeCell ref="E12:E14"/>
    <mergeCell ref="F12:F14"/>
    <mergeCell ref="G12:G14"/>
    <mergeCell ref="X13:X14"/>
    <mergeCell ref="Y13:Y14"/>
    <mergeCell ref="Z13:Z14"/>
    <mergeCell ref="AA13:AA14"/>
    <mergeCell ref="AB13:AB14"/>
    <mergeCell ref="AC13:AC14"/>
    <mergeCell ref="AD13:AD14"/>
    <mergeCell ref="AE12:AE14"/>
    <mergeCell ref="C2:AE3"/>
    <mergeCell ref="C4:AE5"/>
  </mergeCells>
  <conditionalFormatting sqref="H12:W12">
    <cfRule type="expression" priority="186">
      <formula>TEXT($D$9+COLUMN()-COLUMN($H$12),"ddd")="Sun"</formula>
    </cfRule>
    <cfRule type="expression" dxfId="0" priority="187">
      <formula>TEXT($D$9+COLUMN()-COLUMN($H$12),"ddd")="Sun"</formula>
    </cfRule>
  </conditionalFormatting>
  <conditionalFormatting sqref="H14:W14">
    <cfRule type="containsBlanks" dxfId="1" priority="160">
      <formula>LEN(TRIM(H14))=0</formula>
    </cfRule>
    <cfRule type="expression" dxfId="2" priority="161">
      <formula>EXACT(H14,"S")</formula>
    </cfRule>
    <cfRule type="expression" dxfId="3" priority="162">
      <formula>EXACT(H14,"R")</formula>
    </cfRule>
    <cfRule type="expression" dxfId="4" priority="163">
      <formula>EXACT(H14,"T")</formula>
    </cfRule>
    <cfRule type="containsText" dxfId="5" priority="164" operator="between" text="SH">
      <formula>NOT(ISERROR(SEARCH("SH",H14)))</formula>
    </cfRule>
    <cfRule type="expression" dxfId="6" priority="165">
      <formula>EXACT(H14,"RS")</formula>
    </cfRule>
    <cfRule type="containsText" dxfId="7" priority="166" operator="between" text="LH">
      <formula>NOT(ISERROR(SEARCH("LH",H14)))</formula>
    </cfRule>
    <cfRule type="expression" dxfId="8" priority="167">
      <formula>EXACT(H14,"LR")</formula>
    </cfRule>
    <cfRule type="expression" dxfId="0" priority="168">
      <formula>EXACT(H14,"L")</formula>
    </cfRule>
    <cfRule type="expression" dxfId="9" priority="169">
      <formula>EXACT(H14,"D")</formula>
    </cfRule>
    <cfRule type="expression" dxfId="10" priority="170">
      <formula>EXACT(H14,"A")</formula>
    </cfRule>
  </conditionalFormatting>
  <conditionalFormatting sqref="H15:W15">
    <cfRule type="containsBlanks" dxfId="11" priority="171">
      <formula>LEN(TRIM(H15))=0</formula>
    </cfRule>
  </conditionalFormatting>
  <conditionalFormatting sqref="H19:V19">
    <cfRule type="containsText" dxfId="12" priority="40" stopIfTrue="1" operator="between" text="9:24">
      <formula>NOT(ISERROR(SEARCH("9:24",H19)))</formula>
    </cfRule>
    <cfRule type="expression" dxfId="13" priority="41">
      <formula>H$14="LH"</formula>
    </cfRule>
    <cfRule type="expression" dxfId="14" priority="42" stopIfTrue="1">
      <formula>H$14="SH"</formula>
    </cfRule>
    <cfRule type="expression" dxfId="2" priority="43">
      <formula>EXACT(H19,"S")</formula>
    </cfRule>
    <cfRule type="expression" dxfId="3" priority="44">
      <formula>EXACT(H19,"R")</formula>
    </cfRule>
    <cfRule type="expression" dxfId="4" priority="45">
      <formula>EXACT(H19,"T")</formula>
    </cfRule>
    <cfRule type="containsText" dxfId="5" priority="46" operator="between" text="SH">
      <formula>NOT(ISERROR(SEARCH("SH",H19)))</formula>
    </cfRule>
    <cfRule type="expression" dxfId="15" priority="47">
      <formula>EXACT(H19,"RS")</formula>
    </cfRule>
    <cfRule type="containsText" dxfId="7" priority="48" operator="between" text="RH">
      <formula>NOT(ISERROR(SEARCH("RH",H19)))</formula>
    </cfRule>
    <cfRule type="expression" dxfId="8" priority="49">
      <formula>EXACT(H19,"LR")</formula>
    </cfRule>
    <cfRule type="expression" dxfId="0" priority="50">
      <formula>EXACT(H19,"L")</formula>
    </cfRule>
    <cfRule type="expression" dxfId="9" priority="51">
      <formula>EXACT(H19,"D")</formula>
    </cfRule>
    <cfRule type="expression" dxfId="10" priority="52">
      <formula>EXACT(H19,"A")</formula>
    </cfRule>
  </conditionalFormatting>
  <conditionalFormatting sqref="H21:V21">
    <cfRule type="containsText" dxfId="12" priority="14" stopIfTrue="1" operator="between" text="9:24">
      <formula>NOT(ISERROR(SEARCH("9:24",H21)))</formula>
    </cfRule>
    <cfRule type="expression" dxfId="13" priority="15">
      <formula>H$14="LH"</formula>
    </cfRule>
    <cfRule type="expression" dxfId="14" priority="16" stopIfTrue="1">
      <formula>H$14="SH"</formula>
    </cfRule>
    <cfRule type="expression" dxfId="2" priority="17">
      <formula>EXACT(H21,"S")</formula>
    </cfRule>
    <cfRule type="expression" dxfId="3" priority="18">
      <formula>EXACT(H21,"R")</formula>
    </cfRule>
    <cfRule type="expression" dxfId="4" priority="19">
      <formula>EXACT(H21,"T")</formula>
    </cfRule>
    <cfRule type="containsText" dxfId="5" priority="20" operator="between" text="SH">
      <formula>NOT(ISERROR(SEARCH("SH",H21)))</formula>
    </cfRule>
    <cfRule type="expression" dxfId="15" priority="21">
      <formula>EXACT(H21,"RS")</formula>
    </cfRule>
    <cfRule type="containsText" dxfId="7" priority="22" operator="between" text="RH">
      <formula>NOT(ISERROR(SEARCH("RH",H21)))</formula>
    </cfRule>
    <cfRule type="expression" dxfId="8" priority="23">
      <formula>EXACT(H21,"LR")</formula>
    </cfRule>
    <cfRule type="expression" dxfId="0" priority="24">
      <formula>EXACT(H21,"L")</formula>
    </cfRule>
    <cfRule type="expression" dxfId="9" priority="25">
      <formula>EXACT(H21,"D")</formula>
    </cfRule>
    <cfRule type="expression" dxfId="10" priority="26">
      <formula>EXACT(H21,"A")</formula>
    </cfRule>
  </conditionalFormatting>
  <conditionalFormatting sqref="H22:W22">
    <cfRule type="containsText" dxfId="12" priority="1" stopIfTrue="1" operator="between" text="9:24">
      <formula>NOT(ISERROR(SEARCH("9:24",H22)))</formula>
    </cfRule>
    <cfRule type="expression" dxfId="13" priority="2">
      <formula>H$14="LH"</formula>
    </cfRule>
    <cfRule type="expression" dxfId="14" priority="3" stopIfTrue="1">
      <formula>H$14="SH"</formula>
    </cfRule>
    <cfRule type="expression" dxfId="2" priority="4">
      <formula>EXACT(H22,"S")</formula>
    </cfRule>
    <cfRule type="expression" dxfId="3" priority="5">
      <formula>EXACT(H22,"R")</formula>
    </cfRule>
    <cfRule type="expression" dxfId="4" priority="6">
      <formula>EXACT(H22,"T")</formula>
    </cfRule>
    <cfRule type="containsText" dxfId="5" priority="7" operator="between" text="SH">
      <formula>NOT(ISERROR(SEARCH("SH",H22)))</formula>
    </cfRule>
    <cfRule type="expression" dxfId="15" priority="8">
      <formula>EXACT(H22,"RS")</formula>
    </cfRule>
    <cfRule type="containsText" dxfId="7" priority="9" operator="between" text="RH">
      <formula>NOT(ISERROR(SEARCH("RH",H22)))</formula>
    </cfRule>
    <cfRule type="expression" dxfId="8" priority="10">
      <formula>EXACT(H22,"LR")</formula>
    </cfRule>
    <cfRule type="expression" dxfId="0" priority="11">
      <formula>EXACT(H22,"L")</formula>
    </cfRule>
    <cfRule type="expression" dxfId="9" priority="12">
      <formula>EXACT(H22,"D")</formula>
    </cfRule>
    <cfRule type="expression" dxfId="10" priority="13">
      <formula>EXACT(H22,"A")</formula>
    </cfRule>
  </conditionalFormatting>
  <conditionalFormatting sqref="H23:V23">
    <cfRule type="containsText" dxfId="12" priority="144" stopIfTrue="1" operator="between" text="9:24">
      <formula>NOT(ISERROR(SEARCH("9:24",H23)))</formula>
    </cfRule>
    <cfRule type="expression" dxfId="13" priority="145">
      <formula>H$14="LH"</formula>
    </cfRule>
    <cfRule type="expression" dxfId="14" priority="146" stopIfTrue="1">
      <formula>H$14="SH"</formula>
    </cfRule>
    <cfRule type="expression" dxfId="2" priority="147">
      <formula>EXACT(H23,"S")</formula>
    </cfRule>
    <cfRule type="expression" dxfId="3" priority="148">
      <formula>EXACT(H23,"R")</formula>
    </cfRule>
    <cfRule type="expression" dxfId="4" priority="149">
      <formula>EXACT(H23,"T")</formula>
    </cfRule>
    <cfRule type="containsText" dxfId="5" priority="150" operator="between" text="SH">
      <formula>NOT(ISERROR(SEARCH("SH",H23)))</formula>
    </cfRule>
    <cfRule type="expression" dxfId="15" priority="151">
      <formula>EXACT(H23,"RS")</formula>
    </cfRule>
    <cfRule type="containsText" dxfId="7" priority="152" operator="between" text="RH">
      <formula>NOT(ISERROR(SEARCH("RH",H23)))</formula>
    </cfRule>
    <cfRule type="expression" dxfId="8" priority="153">
      <formula>EXACT(H23,"LR")</formula>
    </cfRule>
    <cfRule type="expression" dxfId="0" priority="154">
      <formula>EXACT(H23,"L")</formula>
    </cfRule>
    <cfRule type="expression" dxfId="9" priority="155">
      <formula>EXACT(H23,"D")</formula>
    </cfRule>
    <cfRule type="expression" dxfId="10" priority="156">
      <formula>EXACT(H23,"A")</formula>
    </cfRule>
  </conditionalFormatting>
  <conditionalFormatting sqref="C15:AE34">
    <cfRule type="containsBlanks" dxfId="11" priority="189">
      <formula>LEN(TRIM(C15))=0</formula>
    </cfRule>
  </conditionalFormatting>
  <conditionalFormatting sqref="H15:W18 W19 W23 H24:W34">
    <cfRule type="containsText" dxfId="12" priority="157" stopIfTrue="1" operator="between" text="9:24">
      <formula>NOT(ISERROR(SEARCH("9:24",H15)))</formula>
    </cfRule>
    <cfRule type="expression" dxfId="13" priority="158">
      <formula>H$14="LH"</formula>
    </cfRule>
    <cfRule type="expression" dxfId="14" priority="159" stopIfTrue="1">
      <formula>H$14="SH"</formula>
    </cfRule>
    <cfRule type="expression" dxfId="2" priority="174">
      <formula>EXACT(H15,"S")</formula>
    </cfRule>
    <cfRule type="expression" dxfId="3" priority="175">
      <formula>EXACT(H15,"R")</formula>
    </cfRule>
    <cfRule type="expression" dxfId="4" priority="176">
      <formula>EXACT(H15,"T")</formula>
    </cfRule>
    <cfRule type="containsText" dxfId="5" priority="178" operator="between" text="SH">
      <formula>NOT(ISERROR(SEARCH("SH",H15)))</formula>
    </cfRule>
    <cfRule type="expression" dxfId="15" priority="179">
      <formula>EXACT(H15,"RS")</formula>
    </cfRule>
    <cfRule type="containsText" dxfId="7" priority="181" operator="between" text="RH">
      <formula>NOT(ISERROR(SEARCH("RH",H15)))</formula>
    </cfRule>
    <cfRule type="expression" dxfId="8" priority="182">
      <formula>EXACT(H15,"LR")</formula>
    </cfRule>
    <cfRule type="expression" dxfId="0" priority="183">
      <formula>EXACT(H15,"L")</formula>
    </cfRule>
    <cfRule type="expression" dxfId="9" priority="184">
      <formula>EXACT(H15,"D")</formula>
    </cfRule>
    <cfRule type="expression" dxfId="10" priority="185">
      <formula>EXACT(H15,"A")</formula>
    </cfRule>
  </conditionalFormatting>
  <conditionalFormatting sqref="H20:W20 W21">
    <cfRule type="containsText" dxfId="12" priority="27" stopIfTrue="1" operator="between" text="9:24">
      <formula>NOT(ISERROR(SEARCH("9:24",H20)))</formula>
    </cfRule>
    <cfRule type="expression" dxfId="13" priority="28">
      <formula>H$14="LH"</formula>
    </cfRule>
    <cfRule type="expression" dxfId="14" priority="29" stopIfTrue="1">
      <formula>H$14="SH"</formula>
    </cfRule>
    <cfRule type="expression" dxfId="2" priority="30">
      <formula>EXACT(H20,"S")</formula>
    </cfRule>
    <cfRule type="expression" dxfId="3" priority="31">
      <formula>EXACT(H20,"R")</formula>
    </cfRule>
    <cfRule type="expression" dxfId="4" priority="32">
      <formula>EXACT(H20,"T")</formula>
    </cfRule>
    <cfRule type="containsText" dxfId="5" priority="33" operator="between" text="SH">
      <formula>NOT(ISERROR(SEARCH("SH",H20)))</formula>
    </cfRule>
    <cfRule type="expression" dxfId="15" priority="34">
      <formula>EXACT(H20,"RS")</formula>
    </cfRule>
    <cfRule type="containsText" dxfId="7" priority="35" operator="between" text="RH">
      <formula>NOT(ISERROR(SEARCH("RH",H20)))</formula>
    </cfRule>
    <cfRule type="expression" dxfId="8" priority="36">
      <formula>EXACT(H20,"LR")</formula>
    </cfRule>
    <cfRule type="expression" dxfId="0" priority="37">
      <formula>EXACT(H20,"L")</formula>
    </cfRule>
    <cfRule type="expression" dxfId="9" priority="38">
      <formula>EXACT(H20,"D")</formula>
    </cfRule>
    <cfRule type="expression" dxfId="10" priority="39">
      <formula>EXACT(H20,"A")</formula>
    </cfRule>
  </conditionalFormatting>
  <dataValidations count="2">
    <dataValidation type="list" allowBlank="1" showInputMessage="1" showErrorMessage="1" sqref="H14:W14">
      <formula1>"SH, LH"</formula1>
    </dataValidation>
    <dataValidation type="list" allowBlank="1" showInputMessage="1" showErrorMessage="1" sqref="H15:W15 H18:W18 H19:W19 H20:L20 M20:V20 W20 H21:K21 L21:V21 W21 H22:P22 R22:W22 H23:W23 H16:W17 H24:W25 H26:W34">
      <formula1>Sheet3!$A$2:$A$55</formula1>
    </dataValidation>
  </dataValidations>
  <pageMargins left="0" right="0" top="0" bottom="0.196850393700787" header="0" footer="0"/>
  <pageSetup paperSize="9" scale="55" fitToHeight="0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E50"/>
  <sheetViews>
    <sheetView tabSelected="1" view="pageBreakPreview" zoomScale="70" zoomScaleNormal="70" topLeftCell="C1" workbookViewId="0">
      <selection activeCell="S28" sqref="S28"/>
    </sheetView>
  </sheetViews>
  <sheetFormatPr defaultColWidth="9" defaultRowHeight="13.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4.1416666666667" style="2" customWidth="1"/>
    <col min="7" max="7" width="12" style="2" customWidth="1"/>
    <col min="8" max="23" width="5.70833333333333" style="2" customWidth="1"/>
    <col min="24" max="25" width="10.425" style="3" customWidth="1"/>
    <col min="26" max="26" width="13.7416666666667" style="3" customWidth="1"/>
    <col min="27" max="28" width="10.425" style="3" customWidth="1"/>
    <col min="29" max="29" width="11.2416666666667" style="3" customWidth="1"/>
    <col min="30" max="30" width="10.425" style="3" customWidth="1"/>
    <col min="31" max="31" width="10.425" style="2" customWidth="1"/>
    <col min="32" max="16384" width="9.14166666666667" style="2"/>
  </cols>
  <sheetData>
    <row r="1" ht="14.25"/>
    <row r="2" ht="15.75" spans="2:31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1"/>
    </row>
    <row r="3" ht="15.75" spans="2:31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72"/>
    </row>
    <row r="4" ht="15.75" spans="2:31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73"/>
    </row>
    <row r="5" ht="15.75" spans="2:31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2"/>
    </row>
    <row r="6" ht="16.5" customHeight="1" spans="2:31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74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6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1" ht="14.25"/>
    <row r="12" ht="21.75" customHeight="1" spans="2:31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57" t="str">
        <f>IF(COLUMN()-COLUMN($H$12)&lt;=$D$10-$D9+1,TEXT($D$9+COLUMN()-COLUMN($H$12),"ddd"),"")</f>
        <v>Wed</v>
      </c>
      <c r="J12" s="57" t="str">
        <f>IF(COLUMN()-COLUMN($H$12)&lt;=$D$10-$D9+1,TEXT($D$9+COLUMN()-COLUMN($H$12),"ddd"),"")</f>
        <v>Thu</v>
      </c>
      <c r="K12" s="57" t="str">
        <f>IF(COLUMN()-COLUMN($H$12)&lt;=$D$10-$D9+1,TEXT($D$9+COLUMN()-COLUMN($H$12),"ddd"),"")</f>
        <v>Fri</v>
      </c>
      <c r="L12" s="57" t="str">
        <f>IF(COLUMN()-COLUMN($H$12)&lt;=$D$10-$D9+1,TEXT($D$9+COLUMN()-COLUMN($H$12),"ddd"),"")</f>
        <v>Sat</v>
      </c>
      <c r="M12" s="57" t="str">
        <f>IF(COLUMN()-COLUMN($H$12)&lt;=$D$10-$D9+1,TEXT($D$9+COLUMN()-COLUMN($H$12),"ddd"),"")</f>
        <v>Sun</v>
      </c>
      <c r="N12" s="57" t="str">
        <f>IF(COLUMN()-COLUMN($H$12)&lt;=$D$10-$D9+1,TEXT($D$9+COLUMN()-COLUMN($H$12),"ddd"),"")</f>
        <v>Mon</v>
      </c>
      <c r="O12" s="57" t="str">
        <f>IF(COLUMN()-COLUMN($H$12)&lt;=$D$10-$D9+1,TEXT($D$9+COLUMN()-COLUMN($H$12),"ddd"),"")</f>
        <v>Tue</v>
      </c>
      <c r="P12" s="57" t="str">
        <f>IF(COLUMN()-COLUMN($H$12)&lt;=$D$10-$D9+1,TEXT($D$9+COLUMN()-COLUMN($H$12),"ddd"),"")</f>
        <v>Wed</v>
      </c>
      <c r="Q12" s="57" t="str">
        <f>IF(COLUMN()-COLUMN($H$12)&lt;=$D$10-$D9+1,TEXT($D$9+COLUMN()-COLUMN($H$12),"ddd"),"")</f>
        <v>Thu</v>
      </c>
      <c r="R12" s="57" t="str">
        <f>IF(COLUMN()-COLUMN($H$12)&lt;=$D$10-$D9+1,TEXT($D$9+COLUMN()-COLUMN($H$12),"ddd"),"")</f>
        <v>Fri</v>
      </c>
      <c r="S12" s="57" t="str">
        <f>IF(COLUMN()-COLUMN($H$12)&lt;=$D$10-$D9+1,TEXT($D$9+COLUMN()-COLUMN($H$12),"ddd"),"")</f>
        <v>Sat</v>
      </c>
      <c r="T12" s="57" t="str">
        <f>IF(COLUMN()-COLUMN($H$12)&lt;=$D$10-$D9+1,TEXT($D$9+COLUMN()-COLUMN($H$12),"ddd"),"")</f>
        <v>Sun</v>
      </c>
      <c r="U12" s="57" t="str">
        <f>IF(COLUMN()-COLUMN($H$12)&lt;=$D$10-$D9+1,TEXT($D$9+COLUMN()-COLUMN($H$12),"ddd"),"")</f>
        <v>Mon</v>
      </c>
      <c r="V12" s="57" t="str">
        <f>IF(COLUMN()-COLUMN($H$12)&lt;=$D$10-$D9+1,TEXT($D$9+COLUMN()-COLUMN($H$12),"ddd"),"")</f>
        <v>Tue</v>
      </c>
      <c r="W12" s="61"/>
      <c r="X12" s="62" t="s">
        <v>13</v>
      </c>
      <c r="Y12" s="75" t="s">
        <v>13</v>
      </c>
      <c r="Z12" s="75" t="s">
        <v>14</v>
      </c>
      <c r="AA12" s="75" t="s">
        <v>15</v>
      </c>
      <c r="AB12" s="75" t="s">
        <v>16</v>
      </c>
      <c r="AC12" s="75" t="s">
        <v>17</v>
      </c>
      <c r="AD12" s="75" t="s">
        <v>18</v>
      </c>
      <c r="AE12" s="31" t="s">
        <v>19</v>
      </c>
    </row>
    <row r="13" customHeight="1" spans="2:31">
      <c r="B13" s="34"/>
      <c r="C13" s="34"/>
      <c r="D13" s="34"/>
      <c r="E13" s="34"/>
      <c r="F13" s="34"/>
      <c r="G13" s="35"/>
      <c r="H13" s="36">
        <f>IF(COLUMN()-COLUMN($H$13)&lt;=$D$10-$D$9+1,DAY($D$9+COLUMN()-COLUMN($H$13)),"")</f>
        <v>16</v>
      </c>
      <c r="I13" s="58">
        <f>IF(COLUMN()-COLUMN($H$13)&lt;=$D$10-$D$9+1,DAY($D$9+COLUMN()-COLUMN($H$13)),"")</f>
        <v>17</v>
      </c>
      <c r="J13" s="58">
        <f>IF(COLUMN()-COLUMN($H$13)&lt;=$D$10-$D$9+1,DAY($D$9+COLUMN()-COLUMN($H$13)),"")</f>
        <v>18</v>
      </c>
      <c r="K13" s="58">
        <f>IF(COLUMN()-COLUMN($H$13)&lt;=$D$10-$D$9+1,DAY($D$9+COLUMN()-COLUMN($H$13)),"")</f>
        <v>19</v>
      </c>
      <c r="L13" s="58">
        <f>IF(COLUMN()-COLUMN($H$13)&lt;=$D$10-$D$9+1,DAY($D$9+COLUMN()-COLUMN($H$13)),"")</f>
        <v>20</v>
      </c>
      <c r="M13" s="58">
        <f>IF(COLUMN()-COLUMN($H$13)&lt;=$D$10-$D$9+1,DAY($D$9+COLUMN()-COLUMN($H$13)),"")</f>
        <v>21</v>
      </c>
      <c r="N13" s="58">
        <f>IF(COLUMN()-COLUMN($H$13)&lt;=$D$10-$D$9+1,DAY($D$9+COLUMN()-COLUMN($H$13)),"")</f>
        <v>22</v>
      </c>
      <c r="O13" s="58">
        <f>IF(COLUMN()-COLUMN($H$13)&lt;=$D$10-$D$9+1,DAY($D$9+COLUMN()-COLUMN($H$13)),"")</f>
        <v>23</v>
      </c>
      <c r="P13" s="58">
        <f>IF(COLUMN()-COLUMN($H$13)&lt;=$D$10-$D$9+1,DAY($D$9+COLUMN()-COLUMN($H$13)),"")</f>
        <v>24</v>
      </c>
      <c r="Q13" s="58">
        <f>IF(COLUMN()-COLUMN($H$13)&lt;=$D$10-$D$9+1,DAY($D$9+COLUMN()-COLUMN($H$13)),"")</f>
        <v>25</v>
      </c>
      <c r="R13" s="58">
        <f>IF(COLUMN()-COLUMN($H$13)&lt;=$D$10-$D$9+1,DAY($D$9+COLUMN()-COLUMN($H$13)),"")</f>
        <v>26</v>
      </c>
      <c r="S13" s="58">
        <f>IF(COLUMN()-COLUMN($H$13)&lt;=$D$10-$D$9+1,DAY($D$9+COLUMN()-COLUMN($H$13)),"")</f>
        <v>27</v>
      </c>
      <c r="T13" s="58">
        <f>IF(COLUMN()-COLUMN($H$13)&lt;=$D$10-$D$9+1,DAY($D$9+COLUMN()-COLUMN($H$13)),"")</f>
        <v>28</v>
      </c>
      <c r="U13" s="58">
        <f>IF(COLUMN()-COLUMN($H$13)&lt;=$D$10-$D$9+1,DAY($D$9+COLUMN()-COLUMN($H$13)),"")</f>
        <v>29</v>
      </c>
      <c r="V13" s="58">
        <f>IF(COLUMN()-COLUMN($H$13)&lt;=$D$10-$D$9+1,DAY($D$9+COLUMN()-COLUMN($H$13)),"")</f>
        <v>30</v>
      </c>
      <c r="W13" s="63"/>
      <c r="X13" s="64" t="s">
        <v>20</v>
      </c>
      <c r="Y13" s="31" t="s">
        <v>21</v>
      </c>
      <c r="Z13" s="31" t="s">
        <v>22</v>
      </c>
      <c r="AA13" s="31" t="s">
        <v>23</v>
      </c>
      <c r="AB13" s="31" t="s">
        <v>24</v>
      </c>
      <c r="AC13" s="31" t="s">
        <v>25</v>
      </c>
      <c r="AD13" s="31" t="s">
        <v>24</v>
      </c>
      <c r="AE13" s="34"/>
    </row>
    <row r="14" ht="11.25" customHeight="1" spans="2:31">
      <c r="B14" s="37"/>
      <c r="C14" s="37"/>
      <c r="D14" s="37"/>
      <c r="E14" s="37"/>
      <c r="F14" s="37"/>
      <c r="G14" s="38"/>
      <c r="H14" s="3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5"/>
      <c r="X14" s="66"/>
      <c r="Y14" s="37"/>
      <c r="Z14" s="37"/>
      <c r="AA14" s="37"/>
      <c r="AB14" s="37"/>
      <c r="AC14" s="37"/>
      <c r="AD14" s="37"/>
      <c r="AE14" s="37"/>
    </row>
    <row r="15" ht="24.95" customHeight="1" spans="2:31">
      <c r="B15" s="40">
        <f t="shared" ref="B15:B34" si="0">ROW()-14</f>
        <v>1</v>
      </c>
      <c r="C15" s="41" t="s">
        <v>26</v>
      </c>
      <c r="D15" s="41" t="s">
        <v>27</v>
      </c>
      <c r="E15" s="41" t="s">
        <v>28</v>
      </c>
      <c r="F15" s="41" t="s">
        <v>29</v>
      </c>
      <c r="G15" s="42" t="s">
        <v>30</v>
      </c>
      <c r="H15" s="43">
        <v>12</v>
      </c>
      <c r="I15" s="44">
        <v>12</v>
      </c>
      <c r="J15" s="44">
        <v>12</v>
      </c>
      <c r="K15" s="44">
        <v>12</v>
      </c>
      <c r="L15" s="44">
        <v>12</v>
      </c>
      <c r="M15" s="44" t="s">
        <v>31</v>
      </c>
      <c r="N15" s="44">
        <v>12</v>
      </c>
      <c r="O15" s="44">
        <v>12</v>
      </c>
      <c r="P15" s="44">
        <v>12</v>
      </c>
      <c r="Q15" s="44">
        <v>12</v>
      </c>
      <c r="R15" s="44">
        <v>12</v>
      </c>
      <c r="S15" s="44">
        <v>12</v>
      </c>
      <c r="T15" s="44" t="s">
        <v>31</v>
      </c>
      <c r="U15" s="44">
        <v>12</v>
      </c>
      <c r="V15" s="44">
        <v>12</v>
      </c>
      <c r="W15" s="67"/>
      <c r="X15" s="68" cm="1">
        <f t="array" ref="X15">SUMPRODUCT(--ISNUMBER(H15:W15),--($H$14:$W$14&lt;&gt;"LH"),--($H$14:$W$14&lt;&gt;"SH"))</f>
        <v>13</v>
      </c>
      <c r="Y15" s="44">
        <f t="shared" ref="Y15:Y34" si="1">X15*8</f>
        <v>104</v>
      </c>
      <c r="Z15" s="44"/>
      <c r="AA15" s="44">
        <f t="shared" ref="AA15:AA34" si="2">SUM(H15:W15)-AB15-AD15-Y15</f>
        <v>52</v>
      </c>
      <c r="AB15" s="44">
        <f t="shared" ref="AB15:AB34" si="3">SUMIF($H$14:$W$14,"LH",$H15:$W15)</f>
        <v>0</v>
      </c>
      <c r="AC15" s="44"/>
      <c r="AD15" s="44">
        <f t="shared" ref="AD15:AD34" si="4">SUMIF($H$14:$W$14,"SH",$H15:$W15)</f>
        <v>0</v>
      </c>
      <c r="AE15" s="76"/>
    </row>
    <row r="16" ht="24.95" customHeight="1" spans="2:31">
      <c r="B16" s="40">
        <f t="shared" si="0"/>
        <v>2</v>
      </c>
      <c r="C16" s="41" t="s">
        <v>32</v>
      </c>
      <c r="D16" s="41" t="s">
        <v>33</v>
      </c>
      <c r="E16" s="41" t="s">
        <v>34</v>
      </c>
      <c r="F16" s="41" t="s">
        <v>29</v>
      </c>
      <c r="G16" s="42" t="s">
        <v>35</v>
      </c>
      <c r="H16" s="43">
        <v>10</v>
      </c>
      <c r="I16" s="44">
        <v>9</v>
      </c>
      <c r="J16" s="44">
        <v>8.5</v>
      </c>
      <c r="K16" s="44">
        <v>10</v>
      </c>
      <c r="L16" s="44">
        <v>10</v>
      </c>
      <c r="M16" s="44" t="s">
        <v>31</v>
      </c>
      <c r="N16" s="44">
        <v>10</v>
      </c>
      <c r="O16" s="44">
        <v>10</v>
      </c>
      <c r="P16" s="44">
        <v>8.5</v>
      </c>
      <c r="Q16" s="44">
        <v>8.5</v>
      </c>
      <c r="R16" s="44">
        <v>8</v>
      </c>
      <c r="S16" s="44">
        <v>8</v>
      </c>
      <c r="T16" s="44" t="s">
        <v>31</v>
      </c>
      <c r="U16" s="44">
        <v>8</v>
      </c>
      <c r="V16" s="44">
        <v>8</v>
      </c>
      <c r="W16" s="67"/>
      <c r="X16" s="68" cm="1">
        <f t="array" ref="X16">SUMPRODUCT(--ISNUMBER(H16:W16),--($H$14:$W$14&lt;&gt;"LH"),--($H$14:$W$14&lt;&gt;"SH"))</f>
        <v>13</v>
      </c>
      <c r="Y16" s="44">
        <f t="shared" si="1"/>
        <v>104</v>
      </c>
      <c r="Z16" s="44"/>
      <c r="AA16" s="44">
        <f t="shared" si="2"/>
        <v>12.5</v>
      </c>
      <c r="AB16" s="44">
        <f t="shared" si="3"/>
        <v>0</v>
      </c>
      <c r="AC16" s="44"/>
      <c r="AD16" s="44">
        <f t="shared" si="4"/>
        <v>0</v>
      </c>
      <c r="AE16" s="76"/>
    </row>
    <row r="17" ht="24.95" customHeight="1" spans="2:31">
      <c r="B17" s="40">
        <f t="shared" si="0"/>
        <v>3</v>
      </c>
      <c r="C17" s="41" t="s">
        <v>42</v>
      </c>
      <c r="D17" s="41" t="s">
        <v>43</v>
      </c>
      <c r="E17" s="41" t="s">
        <v>38</v>
      </c>
      <c r="F17" s="41" t="s">
        <v>29</v>
      </c>
      <c r="G17" s="42" t="s">
        <v>41</v>
      </c>
      <c r="H17" s="43">
        <v>8</v>
      </c>
      <c r="I17" s="44">
        <v>8</v>
      </c>
      <c r="J17" s="44">
        <v>8</v>
      </c>
      <c r="K17" s="44">
        <v>8</v>
      </c>
      <c r="L17" s="44">
        <v>8</v>
      </c>
      <c r="M17" s="44">
        <v>8</v>
      </c>
      <c r="N17" s="44" t="s">
        <v>31</v>
      </c>
      <c r="O17" s="44">
        <v>8</v>
      </c>
      <c r="P17" s="44">
        <v>8</v>
      </c>
      <c r="Q17" s="44">
        <v>8</v>
      </c>
      <c r="R17" s="44">
        <v>8</v>
      </c>
      <c r="S17" s="44">
        <v>8</v>
      </c>
      <c r="T17" s="44">
        <v>8</v>
      </c>
      <c r="U17" s="44" t="s">
        <v>31</v>
      </c>
      <c r="V17" s="44">
        <v>8</v>
      </c>
      <c r="W17" s="67"/>
      <c r="X17" s="68" cm="1">
        <f t="array" ref="X17">SUMPRODUCT(--ISNUMBER(H17:W17),--($H$14:$W$14&lt;&gt;"LH"),--($H$14:$W$14&lt;&gt;"SH"))</f>
        <v>13</v>
      </c>
      <c r="Y17" s="44">
        <f t="shared" si="1"/>
        <v>104</v>
      </c>
      <c r="Z17" s="44"/>
      <c r="AA17" s="44">
        <f t="shared" si="2"/>
        <v>0</v>
      </c>
      <c r="AB17" s="44">
        <f t="shared" si="3"/>
        <v>0</v>
      </c>
      <c r="AC17" s="44"/>
      <c r="AD17" s="44">
        <f t="shared" si="4"/>
        <v>0</v>
      </c>
      <c r="AE17" s="76"/>
    </row>
    <row r="18" ht="24.95" customHeight="1" spans="2:31">
      <c r="B18" s="40">
        <f t="shared" si="0"/>
        <v>4</v>
      </c>
      <c r="C18" s="41" t="s">
        <v>53</v>
      </c>
      <c r="D18" s="41" t="s">
        <v>54</v>
      </c>
      <c r="E18" s="41" t="s">
        <v>38</v>
      </c>
      <c r="F18" s="41" t="s">
        <v>29</v>
      </c>
      <c r="G18" s="42" t="s">
        <v>77</v>
      </c>
      <c r="H18" s="43" t="s">
        <v>31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 t="s">
        <v>31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 t="s">
        <v>31</v>
      </c>
      <c r="W18" s="67"/>
      <c r="X18" s="68" cm="1">
        <f t="array" ref="X18">SUMPRODUCT(--ISNUMBER(H18:W18),--($H$14:$W$14&lt;&gt;"LH"),--($H$14:$W$14&lt;&gt;"SH"))</f>
        <v>12</v>
      </c>
      <c r="Y18" s="44">
        <f t="shared" si="1"/>
        <v>96</v>
      </c>
      <c r="Z18" s="44"/>
      <c r="AA18" s="44">
        <f t="shared" si="2"/>
        <v>0</v>
      </c>
      <c r="AB18" s="44">
        <f t="shared" si="3"/>
        <v>0</v>
      </c>
      <c r="AC18" s="44"/>
      <c r="AD18" s="44">
        <f t="shared" si="4"/>
        <v>0</v>
      </c>
      <c r="AE18" s="76"/>
    </row>
    <row r="19" ht="24.95" customHeight="1" spans="2:31">
      <c r="B19" s="40">
        <f t="shared" si="0"/>
        <v>5</v>
      </c>
      <c r="C19" s="41" t="s">
        <v>36</v>
      </c>
      <c r="D19" s="41" t="s">
        <v>37</v>
      </c>
      <c r="E19" s="41" t="s">
        <v>38</v>
      </c>
      <c r="F19" s="41" t="s">
        <v>29</v>
      </c>
      <c r="G19" s="42" t="s">
        <v>35</v>
      </c>
      <c r="H19" s="43">
        <v>8</v>
      </c>
      <c r="I19" s="44">
        <v>8</v>
      </c>
      <c r="J19" s="44">
        <v>8</v>
      </c>
      <c r="K19" s="44">
        <v>8</v>
      </c>
      <c r="L19" s="44">
        <v>8</v>
      </c>
      <c r="M19" s="44" t="s">
        <v>31</v>
      </c>
      <c r="N19" s="44">
        <v>8</v>
      </c>
      <c r="O19" s="44">
        <v>8</v>
      </c>
      <c r="P19" s="44">
        <v>8</v>
      </c>
      <c r="Q19" s="44">
        <v>8</v>
      </c>
      <c r="R19" s="44">
        <v>12</v>
      </c>
      <c r="S19" s="44">
        <v>8</v>
      </c>
      <c r="T19" s="44" t="s">
        <v>31</v>
      </c>
      <c r="U19" s="44">
        <v>8</v>
      </c>
      <c r="V19" s="44">
        <v>8</v>
      </c>
      <c r="W19" s="67"/>
      <c r="X19" s="68" cm="1">
        <f t="array" ref="X19">SUMPRODUCT(--ISNUMBER(H19:W19),--($H$14:$W$14&lt;&gt;"LH"),--($H$14:$W$14&lt;&gt;"SH"))</f>
        <v>13</v>
      </c>
      <c r="Y19" s="44">
        <f t="shared" si="1"/>
        <v>104</v>
      </c>
      <c r="Z19" s="44"/>
      <c r="AA19" s="44">
        <f t="shared" si="2"/>
        <v>4</v>
      </c>
      <c r="AB19" s="44">
        <f t="shared" si="3"/>
        <v>0</v>
      </c>
      <c r="AC19" s="44"/>
      <c r="AD19" s="44">
        <f t="shared" si="4"/>
        <v>0</v>
      </c>
      <c r="AE19" s="76"/>
    </row>
    <row r="20" ht="24.95" customHeight="1" spans="2:31">
      <c r="B20" s="40">
        <f t="shared" si="0"/>
        <v>6</v>
      </c>
      <c r="C20" s="41" t="s">
        <v>39</v>
      </c>
      <c r="D20" s="41" t="s">
        <v>40</v>
      </c>
      <c r="E20" s="41" t="s">
        <v>38</v>
      </c>
      <c r="F20" s="41" t="s">
        <v>29</v>
      </c>
      <c r="G20" s="42" t="s">
        <v>41</v>
      </c>
      <c r="H20" s="43">
        <v>8</v>
      </c>
      <c r="I20" s="44">
        <v>8</v>
      </c>
      <c r="J20" s="44">
        <v>8</v>
      </c>
      <c r="K20" s="44">
        <v>8</v>
      </c>
      <c r="L20" s="44">
        <v>8</v>
      </c>
      <c r="M20" s="44" t="s">
        <v>31</v>
      </c>
      <c r="N20" s="44">
        <v>8</v>
      </c>
      <c r="O20" s="44">
        <v>8</v>
      </c>
      <c r="P20" s="44">
        <v>8</v>
      </c>
      <c r="Q20" s="44">
        <v>8</v>
      </c>
      <c r="R20" s="44">
        <v>8</v>
      </c>
      <c r="S20" s="44">
        <v>8</v>
      </c>
      <c r="T20" s="44" t="s">
        <v>31</v>
      </c>
      <c r="U20" s="44">
        <v>8</v>
      </c>
      <c r="V20" s="44">
        <v>8</v>
      </c>
      <c r="W20" s="67"/>
      <c r="X20" s="68" cm="1">
        <f t="array" ref="X20">SUMPRODUCT(--ISNUMBER(H20:W20),--($H$14:$W$14&lt;&gt;"LH"),--($H$14:$W$14&lt;&gt;"SH"))</f>
        <v>13</v>
      </c>
      <c r="Y20" s="44">
        <f t="shared" si="1"/>
        <v>104</v>
      </c>
      <c r="Z20" s="44"/>
      <c r="AA20" s="44">
        <f t="shared" si="2"/>
        <v>0</v>
      </c>
      <c r="AB20" s="44">
        <f t="shared" si="3"/>
        <v>0</v>
      </c>
      <c r="AC20" s="44"/>
      <c r="AD20" s="44">
        <f t="shared" si="4"/>
        <v>0</v>
      </c>
      <c r="AE20" s="76"/>
    </row>
    <row r="21" ht="24.95" customHeight="1" spans="2:31">
      <c r="B21" s="40">
        <f t="shared" si="0"/>
        <v>7</v>
      </c>
      <c r="C21" s="41" t="s">
        <v>51</v>
      </c>
      <c r="D21" s="41" t="s">
        <v>52</v>
      </c>
      <c r="E21" s="41" t="s">
        <v>38</v>
      </c>
      <c r="F21" s="41" t="s">
        <v>48</v>
      </c>
      <c r="G21" s="42" t="s">
        <v>49</v>
      </c>
      <c r="H21" s="43">
        <v>8</v>
      </c>
      <c r="I21" s="44">
        <v>8</v>
      </c>
      <c r="J21" s="44">
        <v>8</v>
      </c>
      <c r="K21" s="44" t="s">
        <v>31</v>
      </c>
      <c r="L21" s="44">
        <v>8</v>
      </c>
      <c r="M21" s="44">
        <v>8</v>
      </c>
      <c r="N21" s="44">
        <v>8</v>
      </c>
      <c r="O21" s="44">
        <v>8</v>
      </c>
      <c r="P21" s="44">
        <v>8</v>
      </c>
      <c r="Q21" s="44">
        <v>8</v>
      </c>
      <c r="R21" s="44" t="s">
        <v>31</v>
      </c>
      <c r="S21" s="44">
        <v>8</v>
      </c>
      <c r="T21" s="44">
        <v>8</v>
      </c>
      <c r="U21" s="44">
        <v>8</v>
      </c>
      <c r="V21" s="44">
        <v>8</v>
      </c>
      <c r="W21" s="67"/>
      <c r="X21" s="68" cm="1">
        <f t="array" ref="X21">SUMPRODUCT(--ISNUMBER(H21:W21),--($H$14:$W$14&lt;&gt;"LH"),--($H$14:$W$14&lt;&gt;"SH"))</f>
        <v>13</v>
      </c>
      <c r="Y21" s="44">
        <f t="shared" si="1"/>
        <v>104</v>
      </c>
      <c r="Z21" s="44">
        <v>10</v>
      </c>
      <c r="AA21" s="44">
        <f t="shared" si="2"/>
        <v>0</v>
      </c>
      <c r="AB21" s="44">
        <f t="shared" si="3"/>
        <v>0</v>
      </c>
      <c r="AC21" s="44"/>
      <c r="AD21" s="44">
        <f t="shared" si="4"/>
        <v>0</v>
      </c>
      <c r="AE21" s="76"/>
    </row>
    <row r="22" ht="24.95" customHeight="1" spans="2:31">
      <c r="B22" s="40">
        <f t="shared" si="0"/>
        <v>8</v>
      </c>
      <c r="C22" s="41" t="s">
        <v>46</v>
      </c>
      <c r="D22" s="41" t="s">
        <v>47</v>
      </c>
      <c r="E22" s="41" t="s">
        <v>38</v>
      </c>
      <c r="F22" s="41" t="s">
        <v>48</v>
      </c>
      <c r="G22" s="42" t="s">
        <v>55</v>
      </c>
      <c r="H22" s="43">
        <v>8</v>
      </c>
      <c r="I22" s="44">
        <v>8</v>
      </c>
      <c r="J22" s="44">
        <v>8</v>
      </c>
      <c r="K22" s="44">
        <v>8</v>
      </c>
      <c r="L22" s="44">
        <v>8</v>
      </c>
      <c r="M22" s="44" t="s">
        <v>31</v>
      </c>
      <c r="N22" s="44">
        <v>8</v>
      </c>
      <c r="O22" s="44">
        <v>8</v>
      </c>
      <c r="P22" s="44">
        <v>8</v>
      </c>
      <c r="Q22" s="44">
        <v>8</v>
      </c>
      <c r="R22" s="44">
        <v>8</v>
      </c>
      <c r="S22" s="44">
        <v>8</v>
      </c>
      <c r="T22" s="44" t="s">
        <v>31</v>
      </c>
      <c r="U22" s="44">
        <v>8</v>
      </c>
      <c r="V22" s="44">
        <v>8</v>
      </c>
      <c r="W22" s="67"/>
      <c r="X22" s="68" cm="1">
        <f t="array" ref="X22">SUMPRODUCT(--ISNUMBER(H22:W22),--($H$14:$W$14&lt;&gt;"LH"),--($H$14:$W$14&lt;&gt;"SH"))</f>
        <v>13</v>
      </c>
      <c r="Y22" s="44">
        <f t="shared" si="1"/>
        <v>104</v>
      </c>
      <c r="Z22" s="44">
        <v>9</v>
      </c>
      <c r="AA22" s="44">
        <f t="shared" si="2"/>
        <v>0</v>
      </c>
      <c r="AB22" s="44">
        <f t="shared" si="3"/>
        <v>0</v>
      </c>
      <c r="AC22" s="44"/>
      <c r="AD22" s="44">
        <f t="shared" si="4"/>
        <v>0</v>
      </c>
      <c r="AE22" s="76"/>
    </row>
    <row r="23" ht="24.95" customHeight="1" spans="2:31">
      <c r="B23" s="40">
        <f t="shared" si="0"/>
        <v>9</v>
      </c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67"/>
      <c r="X23" s="68" cm="1">
        <f t="array" ref="X23">SUMPRODUCT(--ISNUMBER(H23:W23),--($H$14:$W$14&lt;&gt;"LH"),--($H$14:$W$14&lt;&gt;"SH"))</f>
        <v>0</v>
      </c>
      <c r="Y23" s="44">
        <f t="shared" si="1"/>
        <v>0</v>
      </c>
      <c r="Z23" s="44"/>
      <c r="AA23" s="44">
        <f t="shared" si="2"/>
        <v>0</v>
      </c>
      <c r="AB23" s="44">
        <f t="shared" si="3"/>
        <v>0</v>
      </c>
      <c r="AC23" s="44"/>
      <c r="AD23" s="44">
        <f t="shared" si="4"/>
        <v>0</v>
      </c>
      <c r="AE23" s="76"/>
    </row>
    <row r="24" ht="24.95" customHeight="1" spans="2:31">
      <c r="B24" s="40">
        <f t="shared" si="0"/>
        <v>10</v>
      </c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67"/>
      <c r="X24" s="68" cm="1">
        <f t="array" ref="X24">SUMPRODUCT(--ISNUMBER(H24:W24),--($H$14:$W$14&lt;&gt;"LH"),--($H$14:$W$14&lt;&gt;"SH"))</f>
        <v>0</v>
      </c>
      <c r="Y24" s="44">
        <f t="shared" si="1"/>
        <v>0</v>
      </c>
      <c r="Z24" s="44"/>
      <c r="AA24" s="44">
        <f t="shared" si="2"/>
        <v>0</v>
      </c>
      <c r="AB24" s="44">
        <f t="shared" si="3"/>
        <v>0</v>
      </c>
      <c r="AC24" s="44"/>
      <c r="AD24" s="44">
        <f t="shared" si="4"/>
        <v>0</v>
      </c>
      <c r="AE24" s="76"/>
    </row>
    <row r="25" ht="24.95" customHeight="1" spans="2:31">
      <c r="B25" s="40">
        <f t="shared" si="0"/>
        <v>11</v>
      </c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67"/>
      <c r="X25" s="68" cm="1">
        <f t="array" ref="X25">SUMPRODUCT(--ISNUMBER(H25:W25),--($H$14:$W$14&lt;&gt;"LH"),--($H$14:$W$14&lt;&gt;"SH"))</f>
        <v>0</v>
      </c>
      <c r="Y25" s="44">
        <f t="shared" si="1"/>
        <v>0</v>
      </c>
      <c r="Z25" s="44"/>
      <c r="AA25" s="44">
        <f t="shared" si="2"/>
        <v>0</v>
      </c>
      <c r="AB25" s="44">
        <f t="shared" si="3"/>
        <v>0</v>
      </c>
      <c r="AC25" s="44"/>
      <c r="AD25" s="44">
        <f t="shared" si="4"/>
        <v>0</v>
      </c>
      <c r="AE25" s="76"/>
    </row>
    <row r="26" ht="24.95" customHeight="1" spans="2:31">
      <c r="B26" s="40">
        <f t="shared" si="0"/>
        <v>12</v>
      </c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67"/>
      <c r="X26" s="68" cm="1">
        <f t="array" ref="X26">SUMPRODUCT(--ISNUMBER(H26:W26),--($H$14:$W$14&lt;&gt;"LH"),--($H$14:$W$14&lt;&gt;"SH"))</f>
        <v>0</v>
      </c>
      <c r="Y26" s="44">
        <f t="shared" si="1"/>
        <v>0</v>
      </c>
      <c r="Z26" s="44"/>
      <c r="AA26" s="44">
        <f t="shared" si="2"/>
        <v>0</v>
      </c>
      <c r="AB26" s="44">
        <f t="shared" si="3"/>
        <v>0</v>
      </c>
      <c r="AC26" s="44"/>
      <c r="AD26" s="44">
        <f t="shared" si="4"/>
        <v>0</v>
      </c>
      <c r="AE26" s="76"/>
    </row>
    <row r="27" ht="24.95" customHeight="1" spans="2:31">
      <c r="B27" s="40">
        <f t="shared" si="0"/>
        <v>13</v>
      </c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67"/>
      <c r="X27" s="68" cm="1">
        <f t="array" ref="X27">SUMPRODUCT(--ISNUMBER(H27:W27),--($H$14:$W$14&lt;&gt;"LH"),--($H$14:$W$14&lt;&gt;"SH"))</f>
        <v>0</v>
      </c>
      <c r="Y27" s="44">
        <f t="shared" si="1"/>
        <v>0</v>
      </c>
      <c r="Z27" s="44"/>
      <c r="AA27" s="44">
        <f t="shared" si="2"/>
        <v>0</v>
      </c>
      <c r="AB27" s="44">
        <f t="shared" si="3"/>
        <v>0</v>
      </c>
      <c r="AC27" s="44"/>
      <c r="AD27" s="44">
        <f t="shared" si="4"/>
        <v>0</v>
      </c>
      <c r="AE27" s="76"/>
    </row>
    <row r="28" ht="24.95" customHeight="1" spans="2:31">
      <c r="B28" s="40">
        <f t="shared" si="0"/>
        <v>14</v>
      </c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67"/>
      <c r="X28" s="68" cm="1">
        <f t="array" ref="X28">SUMPRODUCT(--ISNUMBER(H28:W28),--($H$14:$W$14&lt;&gt;"LH"),--($H$14:$W$14&lt;&gt;"SH"))</f>
        <v>0</v>
      </c>
      <c r="Y28" s="44">
        <f t="shared" si="1"/>
        <v>0</v>
      </c>
      <c r="Z28" s="44"/>
      <c r="AA28" s="44">
        <f t="shared" si="2"/>
        <v>0</v>
      </c>
      <c r="AB28" s="44">
        <f t="shared" si="3"/>
        <v>0</v>
      </c>
      <c r="AC28" s="44"/>
      <c r="AD28" s="44">
        <f t="shared" si="4"/>
        <v>0</v>
      </c>
      <c r="AE28" s="76"/>
    </row>
    <row r="29" ht="24.95" customHeight="1" spans="2:31">
      <c r="B29" s="40">
        <f t="shared" si="0"/>
        <v>15</v>
      </c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67"/>
      <c r="X29" s="68" cm="1">
        <f t="array" ref="X29">SUMPRODUCT(--ISNUMBER(H29:W29),--($H$14:$W$14&lt;&gt;"LH"),--($H$14:$W$14&lt;&gt;"SH"))</f>
        <v>0</v>
      </c>
      <c r="Y29" s="44">
        <f t="shared" si="1"/>
        <v>0</v>
      </c>
      <c r="Z29" s="44"/>
      <c r="AA29" s="44">
        <f t="shared" si="2"/>
        <v>0</v>
      </c>
      <c r="AB29" s="44">
        <f t="shared" si="3"/>
        <v>0</v>
      </c>
      <c r="AC29" s="44"/>
      <c r="AD29" s="44">
        <f t="shared" si="4"/>
        <v>0</v>
      </c>
      <c r="AE29" s="76"/>
    </row>
    <row r="30" ht="24.95" customHeight="1" spans="2:31">
      <c r="B30" s="40">
        <f t="shared" si="0"/>
        <v>16</v>
      </c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67"/>
      <c r="X30" s="68" cm="1">
        <f t="array" ref="X30">SUMPRODUCT(--ISNUMBER(H30:W30),--($H$14:$W$14&lt;&gt;"LH"),--($H$14:$W$14&lt;&gt;"SH"))</f>
        <v>0</v>
      </c>
      <c r="Y30" s="44">
        <f t="shared" si="1"/>
        <v>0</v>
      </c>
      <c r="Z30" s="44"/>
      <c r="AA30" s="44">
        <f t="shared" si="2"/>
        <v>0</v>
      </c>
      <c r="AB30" s="44">
        <f t="shared" si="3"/>
        <v>0</v>
      </c>
      <c r="AC30" s="44"/>
      <c r="AD30" s="44">
        <f t="shared" si="4"/>
        <v>0</v>
      </c>
      <c r="AE30" s="76"/>
    </row>
    <row r="31" ht="24.95" customHeight="1" spans="2:31">
      <c r="B31" s="40">
        <f t="shared" si="0"/>
        <v>17</v>
      </c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67"/>
      <c r="X31" s="68" cm="1">
        <f t="array" ref="X31">SUMPRODUCT(--ISNUMBER(H31:W31),--($H$14:$W$14&lt;&gt;"LH"),--($H$14:$W$14&lt;&gt;"SH"))</f>
        <v>0</v>
      </c>
      <c r="Y31" s="44">
        <f t="shared" si="1"/>
        <v>0</v>
      </c>
      <c r="Z31" s="44"/>
      <c r="AA31" s="44">
        <f t="shared" si="2"/>
        <v>0</v>
      </c>
      <c r="AB31" s="44">
        <f t="shared" si="3"/>
        <v>0</v>
      </c>
      <c r="AC31" s="44"/>
      <c r="AD31" s="44">
        <f t="shared" si="4"/>
        <v>0</v>
      </c>
      <c r="AE31" s="76"/>
    </row>
    <row r="32" ht="24.95" customHeight="1" spans="2:31">
      <c r="B32" s="40">
        <f t="shared" si="0"/>
        <v>18</v>
      </c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67"/>
      <c r="X32" s="68" cm="1">
        <f t="array" ref="X32">SUMPRODUCT(--ISNUMBER(H32:W32),--($H$14:$W$14&lt;&gt;"LH"),--($H$14:$W$14&lt;&gt;"SH"))</f>
        <v>0</v>
      </c>
      <c r="Y32" s="44">
        <f t="shared" si="1"/>
        <v>0</v>
      </c>
      <c r="Z32" s="44"/>
      <c r="AA32" s="44">
        <f t="shared" si="2"/>
        <v>0</v>
      </c>
      <c r="AB32" s="44">
        <f t="shared" si="3"/>
        <v>0</v>
      </c>
      <c r="AC32" s="44"/>
      <c r="AD32" s="44">
        <f t="shared" si="4"/>
        <v>0</v>
      </c>
      <c r="AE32" s="76"/>
    </row>
    <row r="33" ht="24.95" customHeight="1" spans="2:31">
      <c r="B33" s="40">
        <f t="shared" si="0"/>
        <v>19</v>
      </c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67"/>
      <c r="X33" s="68" cm="1">
        <f t="array" ref="X33">SUMPRODUCT(--ISNUMBER(H33:W33),--($H$14:$W$14&lt;&gt;"LH"),--($H$14:$W$14&lt;&gt;"SH"))</f>
        <v>0</v>
      </c>
      <c r="Y33" s="44">
        <f t="shared" si="1"/>
        <v>0</v>
      </c>
      <c r="Z33" s="44"/>
      <c r="AA33" s="44">
        <f t="shared" si="2"/>
        <v>0</v>
      </c>
      <c r="AB33" s="44">
        <f t="shared" si="3"/>
        <v>0</v>
      </c>
      <c r="AC33" s="44"/>
      <c r="AD33" s="44">
        <f t="shared" si="4"/>
        <v>0</v>
      </c>
      <c r="AE33" s="76"/>
    </row>
    <row r="34" ht="24.95" customHeight="1" spans="2:31">
      <c r="B34" s="40">
        <f t="shared" si="0"/>
        <v>20</v>
      </c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67"/>
      <c r="X34" s="68" cm="1">
        <f t="array" ref="X34">SUMPRODUCT(--ISNUMBER(H34:W34),--($H$14:$W$14&lt;&gt;"LH"),--($H$14:$W$14&lt;&gt;"SH"))</f>
        <v>0</v>
      </c>
      <c r="Y34" s="44">
        <f t="shared" si="1"/>
        <v>0</v>
      </c>
      <c r="Z34" s="44"/>
      <c r="AA34" s="44">
        <f t="shared" si="2"/>
        <v>0</v>
      </c>
      <c r="AB34" s="44">
        <f t="shared" si="3"/>
        <v>0</v>
      </c>
      <c r="AC34" s="44"/>
      <c r="AD34" s="44">
        <f t="shared" si="4"/>
        <v>0</v>
      </c>
      <c r="AE34" s="76"/>
    </row>
    <row r="35" ht="22.5" customHeight="1" spans="2:31">
      <c r="B35" s="44"/>
      <c r="C35" s="41"/>
      <c r="D35" s="41"/>
      <c r="E35" s="18" t="s">
        <v>58</v>
      </c>
      <c r="F35" s="19"/>
      <c r="G35" s="18">
        <f>SUM(H35:W35)</f>
        <v>103</v>
      </c>
      <c r="H35" s="45">
        <f t="shared" ref="H35:W35" si="5">COUNT(H15:H34)</f>
        <v>7</v>
      </c>
      <c r="I35" s="45">
        <f t="shared" si="5"/>
        <v>8</v>
      </c>
      <c r="J35" s="45">
        <f t="shared" si="5"/>
        <v>8</v>
      </c>
      <c r="K35" s="45">
        <f t="shared" si="5"/>
        <v>7</v>
      </c>
      <c r="L35" s="45">
        <f t="shared" si="5"/>
        <v>8</v>
      </c>
      <c r="M35" s="45">
        <f t="shared" si="5"/>
        <v>3</v>
      </c>
      <c r="N35" s="45">
        <f t="shared" si="5"/>
        <v>7</v>
      </c>
      <c r="O35" s="45">
        <f t="shared" si="5"/>
        <v>7</v>
      </c>
      <c r="P35" s="45">
        <f t="shared" si="5"/>
        <v>8</v>
      </c>
      <c r="Q35" s="45">
        <f t="shared" si="5"/>
        <v>8</v>
      </c>
      <c r="R35" s="45">
        <f t="shared" si="5"/>
        <v>7</v>
      </c>
      <c r="S35" s="45">
        <f t="shared" si="5"/>
        <v>8</v>
      </c>
      <c r="T35" s="45">
        <f t="shared" si="5"/>
        <v>3</v>
      </c>
      <c r="U35" s="45">
        <f t="shared" si="5"/>
        <v>7</v>
      </c>
      <c r="V35" s="45">
        <f t="shared" si="5"/>
        <v>7</v>
      </c>
      <c r="W35" s="45">
        <f t="shared" si="5"/>
        <v>0</v>
      </c>
      <c r="X35" s="69">
        <f t="shared" ref="X35:AE35" si="6">SUM(X15:X34)</f>
        <v>103</v>
      </c>
      <c r="Y35" s="77">
        <f t="shared" si="6"/>
        <v>824</v>
      </c>
      <c r="Z35" s="77">
        <f t="shared" si="6"/>
        <v>19</v>
      </c>
      <c r="AA35" s="77">
        <f t="shared" si="6"/>
        <v>68.5</v>
      </c>
      <c r="AB35" s="77">
        <f t="shared" si="6"/>
        <v>0</v>
      </c>
      <c r="AC35" s="77">
        <f t="shared" si="6"/>
        <v>0</v>
      </c>
      <c r="AD35" s="77">
        <f t="shared" si="6"/>
        <v>0</v>
      </c>
      <c r="AE35" s="77">
        <f t="shared" si="6"/>
        <v>0</v>
      </c>
    </row>
    <row r="37" ht="15.75" spans="2:31">
      <c r="B37" s="46" t="s">
        <v>59</v>
      </c>
      <c r="H37" s="47" t="s">
        <v>60</v>
      </c>
      <c r="I37" s="47"/>
      <c r="J37" s="47"/>
      <c r="K37" s="47"/>
      <c r="R37" s="47" t="s">
        <v>61</v>
      </c>
      <c r="S37" s="47"/>
      <c r="T37" s="47"/>
      <c r="U37" s="47"/>
      <c r="Z37" s="78"/>
      <c r="AA37" s="53" t="s">
        <v>62</v>
      </c>
      <c r="AB37" s="79"/>
      <c r="AC37" s="80"/>
      <c r="AD37" s="81"/>
      <c r="AE37" s="78"/>
    </row>
    <row r="38" ht="15.75" spans="21:31">
      <c r="U38" s="54"/>
      <c r="Z38" s="81"/>
      <c r="AA38" s="55" t="s">
        <v>63</v>
      </c>
      <c r="AB38" s="82"/>
      <c r="AC38" s="83"/>
      <c r="AD38" s="81"/>
      <c r="AE38" s="54"/>
    </row>
    <row r="39" ht="15.75" spans="21:31">
      <c r="U39" s="54"/>
      <c r="Z39" s="81"/>
      <c r="AA39" s="55" t="s">
        <v>64</v>
      </c>
      <c r="AB39" s="82"/>
      <c r="AC39" s="83"/>
      <c r="AD39" s="81"/>
      <c r="AE39" s="54"/>
    </row>
    <row r="40" ht="15.75" spans="2:31">
      <c r="B40" s="48"/>
      <c r="C40" s="48"/>
      <c r="D40" s="48"/>
      <c r="E40" s="49"/>
      <c r="F40" s="49"/>
      <c r="G40" s="49"/>
      <c r="H40" s="48"/>
      <c r="I40" s="48"/>
      <c r="J40" s="48"/>
      <c r="K40" s="48"/>
      <c r="L40" s="48"/>
      <c r="M40" s="48"/>
      <c r="N40" s="48"/>
      <c r="O40" s="60"/>
      <c r="P40" s="60"/>
      <c r="Q40" s="60"/>
      <c r="R40" s="48"/>
      <c r="S40" s="48"/>
      <c r="T40" s="48"/>
      <c r="U40" s="48"/>
      <c r="V40" s="48"/>
      <c r="W40" s="48"/>
      <c r="X40" s="48"/>
      <c r="Z40" s="81"/>
      <c r="AA40" s="55" t="s">
        <v>65</v>
      </c>
      <c r="AB40" s="82"/>
      <c r="AC40" s="83"/>
      <c r="AD40" s="81"/>
      <c r="AE40" s="54"/>
    </row>
    <row r="41" ht="15.75" customHeight="1" spans="2:31">
      <c r="B41" s="50" t="s">
        <v>28</v>
      </c>
      <c r="C41" s="50"/>
      <c r="D41" s="50"/>
      <c r="H41" s="51" t="s">
        <v>66</v>
      </c>
      <c r="I41" s="51"/>
      <c r="J41" s="51"/>
      <c r="K41" s="51"/>
      <c r="L41" s="51"/>
      <c r="M41" s="51"/>
      <c r="N41" s="51"/>
      <c r="O41" s="21"/>
      <c r="P41" s="21"/>
      <c r="Q41" s="21"/>
      <c r="R41" s="51" t="s">
        <v>67</v>
      </c>
      <c r="S41" s="51"/>
      <c r="T41" s="51"/>
      <c r="U41" s="51"/>
      <c r="V41" s="51"/>
      <c r="W41" s="51"/>
      <c r="X41" s="51"/>
      <c r="Z41" s="81"/>
      <c r="AA41" s="55" t="s">
        <v>68</v>
      </c>
      <c r="AB41" s="55"/>
      <c r="AC41" s="81"/>
      <c r="AD41" s="81"/>
      <c r="AE41" s="54"/>
    </row>
    <row r="42" ht="15.75" spans="21:31">
      <c r="U42" s="54"/>
      <c r="Z42" s="81"/>
      <c r="AA42" s="55" t="s">
        <v>69</v>
      </c>
      <c r="AB42" s="82"/>
      <c r="AC42" s="83"/>
      <c r="AD42" s="81"/>
      <c r="AE42" s="54"/>
    </row>
    <row r="43" ht="15.75" spans="21:31">
      <c r="U43" s="54"/>
      <c r="Z43" s="81"/>
      <c r="AA43" s="55" t="s">
        <v>70</v>
      </c>
      <c r="AB43" s="55"/>
      <c r="AC43" s="81"/>
      <c r="AD43" s="81"/>
      <c r="AE43" s="54"/>
    </row>
    <row r="44" ht="15.75" spans="2:31">
      <c r="B44" s="52"/>
      <c r="C44" s="52"/>
      <c r="D44" s="52"/>
      <c r="E44" s="52"/>
      <c r="F44" s="52"/>
      <c r="G44" s="52"/>
      <c r="H44" s="52"/>
      <c r="I44" s="54"/>
      <c r="J44" s="54"/>
      <c r="K44" s="52"/>
      <c r="L44" s="52"/>
      <c r="M44" s="54"/>
      <c r="U44" s="55"/>
      <c r="Z44" s="81"/>
      <c r="AA44" s="55" t="s">
        <v>71</v>
      </c>
      <c r="AB44" s="55"/>
      <c r="AC44" s="81"/>
      <c r="AD44" s="81"/>
      <c r="AE44" s="54"/>
    </row>
    <row r="45" ht="15.75" spans="2:31">
      <c r="B45" s="52" t="s">
        <v>72</v>
      </c>
      <c r="C45" s="53"/>
      <c r="D45" s="53"/>
      <c r="E45" s="53"/>
      <c r="F45" s="53"/>
      <c r="G45" s="53"/>
      <c r="H45" s="53"/>
      <c r="I45" s="53"/>
      <c r="J45" s="55"/>
      <c r="K45" s="55"/>
      <c r="L45" s="53"/>
      <c r="M45" s="53"/>
      <c r="N45" s="54"/>
      <c r="O45" s="52"/>
      <c r="U45" s="54"/>
      <c r="Z45" s="81"/>
      <c r="AA45" s="84" t="s">
        <v>73</v>
      </c>
      <c r="AB45" s="85"/>
      <c r="AC45" s="86"/>
      <c r="AD45" s="81"/>
      <c r="AE45" s="54"/>
    </row>
    <row r="46" ht="15.75" spans="2:31">
      <c r="B46" s="54"/>
      <c r="C46" s="53"/>
      <c r="D46" s="55"/>
      <c r="E46" s="55"/>
      <c r="F46" s="55"/>
      <c r="G46" s="55"/>
      <c r="H46" s="55"/>
      <c r="I46" s="55"/>
      <c r="J46" s="55"/>
      <c r="K46" s="55"/>
      <c r="L46" s="53"/>
      <c r="M46" s="53"/>
      <c r="N46" s="54"/>
      <c r="O46" s="52"/>
      <c r="U46" s="54"/>
      <c r="Z46" s="81"/>
      <c r="AA46" s="84" t="s">
        <v>74</v>
      </c>
      <c r="AB46" s="85"/>
      <c r="AC46" s="86"/>
      <c r="AD46" s="86"/>
      <c r="AE46" s="54"/>
    </row>
    <row r="47" ht="15.75" spans="2:31">
      <c r="B47" s="54"/>
      <c r="C47" s="53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4"/>
      <c r="O47" s="52"/>
      <c r="U47" s="54"/>
      <c r="Z47" s="81"/>
      <c r="AA47" s="55" t="s">
        <v>75</v>
      </c>
      <c r="AB47" s="82"/>
      <c r="AC47" s="83"/>
      <c r="AE47" s="54"/>
    </row>
    <row r="48" ht="15.75" spans="21:31">
      <c r="U48" s="54"/>
      <c r="Z48" s="86"/>
      <c r="AA48" s="55" t="s">
        <v>76</v>
      </c>
      <c r="AB48" s="55"/>
      <c r="AC48" s="81"/>
      <c r="AE48" s="87"/>
    </row>
    <row r="49" ht="15.75" spans="2:31">
      <c r="B49" s="46"/>
      <c r="C49" s="46"/>
      <c r="D49" s="46"/>
      <c r="E49" s="46"/>
      <c r="F49" s="46"/>
      <c r="G49" s="46"/>
      <c r="H49" s="46"/>
      <c r="I49" s="46"/>
      <c r="U49" s="70"/>
      <c r="Z49" s="86"/>
      <c r="AD49" s="86"/>
      <c r="AE49" s="87"/>
    </row>
    <row r="50" ht="15.75" spans="21:31">
      <c r="U50" s="70"/>
      <c r="Z50" s="86"/>
      <c r="AD50" s="86"/>
      <c r="AE50" s="87"/>
    </row>
  </sheetData>
  <sheetProtection insertRows="0"/>
  <mergeCells count="29">
    <mergeCell ref="C6:AE6"/>
    <mergeCell ref="C8:F8"/>
    <mergeCell ref="D9:E9"/>
    <mergeCell ref="D10:E10"/>
    <mergeCell ref="E35:F35"/>
    <mergeCell ref="H37:K37"/>
    <mergeCell ref="R37:U37"/>
    <mergeCell ref="B40:D40"/>
    <mergeCell ref="H40:N40"/>
    <mergeCell ref="R40:X40"/>
    <mergeCell ref="B41:D41"/>
    <mergeCell ref="H41:N41"/>
    <mergeCell ref="R41:X41"/>
    <mergeCell ref="B12:B14"/>
    <mergeCell ref="C12:C14"/>
    <mergeCell ref="D12:D14"/>
    <mergeCell ref="E12:E14"/>
    <mergeCell ref="F12:F14"/>
    <mergeCell ref="G12:G14"/>
    <mergeCell ref="X13:X14"/>
    <mergeCell ref="Y13:Y14"/>
    <mergeCell ref="Z13:Z14"/>
    <mergeCell ref="AA13:AA14"/>
    <mergeCell ref="AB13:AB14"/>
    <mergeCell ref="AC13:AC14"/>
    <mergeCell ref="AD13:AD14"/>
    <mergeCell ref="AE12:AE14"/>
    <mergeCell ref="C2:AE3"/>
    <mergeCell ref="C4:AE5"/>
  </mergeCells>
  <conditionalFormatting sqref="H12:W12">
    <cfRule type="expression" dxfId="0" priority="108">
      <formula>TEXT($D$9+COLUMN()-COLUMN($H$12),"ddd")="Sun"</formula>
    </cfRule>
    <cfRule type="expression" priority="107">
      <formula>TEXT($D$9+COLUMN()-COLUMN($H$12),"ddd")="Sun"</formula>
    </cfRule>
  </conditionalFormatting>
  <conditionalFormatting sqref="H14:W14">
    <cfRule type="expression" dxfId="10" priority="95">
      <formula>EXACT(H14,"A")</formula>
    </cfRule>
    <cfRule type="expression" dxfId="9" priority="94">
      <formula>EXACT(H14,"D")</formula>
    </cfRule>
    <cfRule type="expression" dxfId="0" priority="93">
      <formula>EXACT(H14,"L")</formula>
    </cfRule>
    <cfRule type="expression" dxfId="8" priority="92">
      <formula>EXACT(H14,"LR")</formula>
    </cfRule>
    <cfRule type="containsText" dxfId="7" priority="91" operator="between" text="LH">
      <formula>NOT(ISERROR(SEARCH("LH",H14)))</formula>
    </cfRule>
    <cfRule type="expression" dxfId="6" priority="90">
      <formula>EXACT(H14,"RS")</formula>
    </cfRule>
    <cfRule type="containsText" dxfId="5" priority="89" operator="between" text="SH">
      <formula>NOT(ISERROR(SEARCH("SH",H14)))</formula>
    </cfRule>
    <cfRule type="expression" dxfId="4" priority="88">
      <formula>EXACT(H14,"T")</formula>
    </cfRule>
    <cfRule type="expression" dxfId="3" priority="87">
      <formula>EXACT(H14,"R")</formula>
    </cfRule>
    <cfRule type="expression" dxfId="2" priority="86">
      <formula>EXACT(H14,"S")</formula>
    </cfRule>
    <cfRule type="containsBlanks" dxfId="1" priority="85">
      <formula>LEN(TRIM(H14))=0</formula>
    </cfRule>
  </conditionalFormatting>
  <conditionalFormatting sqref="H15:V15">
    <cfRule type="containsBlanks" dxfId="11" priority="5">
      <formula>LEN(TRIM(H15))=0</formula>
    </cfRule>
  </conditionalFormatting>
  <conditionalFormatting sqref="W15">
    <cfRule type="containsBlanks" dxfId="11" priority="96">
      <formula>LEN(TRIM(W15))=0</formula>
    </cfRule>
  </conditionalFormatting>
  <conditionalFormatting sqref="W22">
    <cfRule type="expression" dxfId="10" priority="29">
      <formula>EXACT(W22,"A")</formula>
    </cfRule>
    <cfRule type="expression" dxfId="9" priority="28">
      <formula>EXACT(W22,"D")</formula>
    </cfRule>
    <cfRule type="expression" dxfId="0" priority="27">
      <formula>EXACT(W22,"L")</formula>
    </cfRule>
    <cfRule type="expression" dxfId="8" priority="26">
      <formula>EXACT(W22,"LR")</formula>
    </cfRule>
    <cfRule type="containsText" dxfId="7" priority="25" operator="between" text="RH">
      <formula>NOT(ISERROR(SEARCH("RH",W22)))</formula>
    </cfRule>
    <cfRule type="expression" dxfId="15" priority="24">
      <formula>EXACT(W22,"RS")</formula>
    </cfRule>
    <cfRule type="containsText" dxfId="5" priority="23" operator="between" text="SH">
      <formula>NOT(ISERROR(SEARCH("SH",W22)))</formula>
    </cfRule>
    <cfRule type="expression" dxfId="4" priority="22">
      <formula>EXACT(W22,"T")</formula>
    </cfRule>
    <cfRule type="expression" dxfId="3" priority="21">
      <formula>EXACT(W22,"R")</formula>
    </cfRule>
    <cfRule type="expression" dxfId="2" priority="20">
      <formula>EXACT(W22,"S")</formula>
    </cfRule>
    <cfRule type="expression" dxfId="14" priority="19" stopIfTrue="1">
      <formula>W$14="SH"</formula>
    </cfRule>
    <cfRule type="expression" dxfId="13" priority="18">
      <formula>W$14="LH"</formula>
    </cfRule>
    <cfRule type="containsText" dxfId="12" priority="17" stopIfTrue="1" operator="between" text="9:24">
      <formula>NOT(ISERROR(SEARCH("9:24",W22)))</formula>
    </cfRule>
  </conditionalFormatting>
  <conditionalFormatting sqref="W20:W21">
    <cfRule type="expression" dxfId="10" priority="55">
      <formula>EXACT(W20,"A")</formula>
    </cfRule>
    <cfRule type="expression" dxfId="9" priority="54">
      <formula>EXACT(W20,"D")</formula>
    </cfRule>
    <cfRule type="expression" dxfId="0" priority="53">
      <formula>EXACT(W20,"L")</formula>
    </cfRule>
    <cfRule type="expression" dxfId="8" priority="52">
      <formula>EXACT(W20,"LR")</formula>
    </cfRule>
    <cfRule type="containsText" dxfId="7" priority="51" operator="between" text="RH">
      <formula>NOT(ISERROR(SEARCH("RH",W20)))</formula>
    </cfRule>
    <cfRule type="expression" dxfId="15" priority="50">
      <formula>EXACT(W20,"RS")</formula>
    </cfRule>
    <cfRule type="containsText" dxfId="5" priority="49" operator="between" text="SH">
      <formula>NOT(ISERROR(SEARCH("SH",W20)))</formula>
    </cfRule>
    <cfRule type="expression" dxfId="4" priority="48">
      <formula>EXACT(W20,"T")</formula>
    </cfRule>
    <cfRule type="expression" dxfId="3" priority="47">
      <formula>EXACT(W20,"R")</formula>
    </cfRule>
    <cfRule type="expression" dxfId="2" priority="46">
      <formula>EXACT(W20,"S")</formula>
    </cfRule>
    <cfRule type="expression" dxfId="14" priority="45" stopIfTrue="1">
      <formula>W$14="SH"</formula>
    </cfRule>
    <cfRule type="expression" dxfId="13" priority="44">
      <formula>W$14="LH"</formula>
    </cfRule>
    <cfRule type="containsText" dxfId="12" priority="43" stopIfTrue="1" operator="between" text="9:24">
      <formula>NOT(ISERROR(SEARCH("9:24",W20)))</formula>
    </cfRule>
  </conditionalFormatting>
  <conditionalFormatting sqref="Z21:Z22">
    <cfRule type="containsBlanks" dxfId="11" priority="1">
      <formula>LEN(TRIM(Z21))=0</formula>
    </cfRule>
  </conditionalFormatting>
  <conditionalFormatting sqref="C15:V27">
    <cfRule type="containsBlanks" dxfId="11" priority="16">
      <formula>LEN(TRIM(C15))=0</formula>
    </cfRule>
  </conditionalFormatting>
  <conditionalFormatting sqref="W15:AE20 W21:Y22 AA21:AE22 W23:AE27 C28:AE34">
    <cfRule type="containsBlanks" dxfId="11" priority="109">
      <formula>LEN(TRIM(C15))=0</formula>
    </cfRule>
  </conditionalFormatting>
  <conditionalFormatting sqref="W15:W19 W23:W27 H28:W34">
    <cfRule type="expression" dxfId="10" priority="106">
      <formula>EXACT(H15,"A")</formula>
    </cfRule>
    <cfRule type="expression" dxfId="9" priority="105">
      <formula>EXACT(H15,"D")</formula>
    </cfRule>
    <cfRule type="expression" dxfId="0" priority="104">
      <formula>EXACT(H15,"L")</formula>
    </cfRule>
    <cfRule type="expression" dxfId="8" priority="103">
      <formula>EXACT(H15,"LR")</formula>
    </cfRule>
    <cfRule type="containsText" dxfId="7" priority="102" operator="between" text="RH">
      <formula>NOT(ISERROR(SEARCH("RH",H15)))</formula>
    </cfRule>
    <cfRule type="expression" dxfId="15" priority="101">
      <formula>EXACT(H15,"RS")</formula>
    </cfRule>
    <cfRule type="containsText" dxfId="5" priority="100" operator="between" text="SH">
      <formula>NOT(ISERROR(SEARCH("SH",H15)))</formula>
    </cfRule>
    <cfRule type="expression" dxfId="4" priority="99">
      <formula>EXACT(H15,"T")</formula>
    </cfRule>
    <cfRule type="expression" dxfId="3" priority="98">
      <formula>EXACT(H15,"R")</formula>
    </cfRule>
    <cfRule type="expression" dxfId="2" priority="97">
      <formula>EXACT(H15,"S")</formula>
    </cfRule>
    <cfRule type="expression" dxfId="14" priority="84" stopIfTrue="1">
      <formula>H$14="SH"</formula>
    </cfRule>
    <cfRule type="expression" dxfId="13" priority="83">
      <formula>H$14="LH"</formula>
    </cfRule>
    <cfRule type="containsText" dxfId="12" priority="82" stopIfTrue="1" operator="between" text="9:24">
      <formula>NOT(ISERROR(SEARCH("9:24",H15)))</formula>
    </cfRule>
  </conditionalFormatting>
  <conditionalFormatting sqref="H15:V27">
    <cfRule type="expression" dxfId="10" priority="15">
      <formula>EXACT(H15,"A")</formula>
    </cfRule>
    <cfRule type="expression" dxfId="9" priority="14">
      <formula>EXACT(H15,"D")</formula>
    </cfRule>
    <cfRule type="expression" dxfId="0" priority="13">
      <formula>EXACT(H15,"L")</formula>
    </cfRule>
    <cfRule type="expression" dxfId="8" priority="12">
      <formula>EXACT(H15,"LR")</formula>
    </cfRule>
    <cfRule type="containsText" dxfId="7" priority="11" operator="between" text="RH">
      <formula>NOT(ISERROR(SEARCH("RH",H15)))</formula>
    </cfRule>
    <cfRule type="expression" dxfId="15" priority="10">
      <formula>EXACT(H15,"RS")</formula>
    </cfRule>
    <cfRule type="containsText" dxfId="5" priority="9" operator="between" text="SH">
      <formula>NOT(ISERROR(SEARCH("SH",H15)))</formula>
    </cfRule>
    <cfRule type="expression" dxfId="4" priority="8">
      <formula>EXACT(H15,"T")</formula>
    </cfRule>
    <cfRule type="expression" dxfId="3" priority="7">
      <formula>EXACT(H15,"R")</formula>
    </cfRule>
    <cfRule type="expression" dxfId="2" priority="6">
      <formula>EXACT(H15,"S")</formula>
    </cfRule>
    <cfRule type="expression" dxfId="14" priority="4" stopIfTrue="1">
      <formula>H$14="SH"</formula>
    </cfRule>
    <cfRule type="expression" dxfId="13" priority="3">
      <formula>H$14="LH"</formula>
    </cfRule>
    <cfRule type="containsText" dxfId="12" priority="2" operator="between" text="12">
      <formula>NOT(ISERROR(SEARCH("12",H15)))</formula>
    </cfRule>
  </conditionalFormatting>
  <dataValidations count="2">
    <dataValidation type="list" allowBlank="1" showInputMessage="1" showErrorMessage="1" sqref="H14:W14">
      <formula1>"SH, LH"</formula1>
    </dataValidation>
    <dataValidation type="list" allowBlank="1" showInputMessage="1" showErrorMessage="1" sqref="W15 W18 W19 W20 W21 W22 W23 W16:W17 W24:W25 W26:W27 H28:W34">
      <formula1>Sheet3!$A$2:$A$55</formula1>
    </dataValidation>
  </dataValidations>
  <pageMargins left="0" right="0" top="0" bottom="0.196850393700787" header="0" footer="0"/>
  <pageSetup paperSize="9" scale="55" fitToHeight="0" orientation="landscape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4"/>
  <sheetViews>
    <sheetView topLeftCell="A13" workbookViewId="0">
      <selection activeCell="A11" sqref="A11"/>
    </sheetView>
  </sheetViews>
  <sheetFormatPr defaultColWidth="9" defaultRowHeight="13.5"/>
  <cols>
    <col min="1" max="1" width="6.56666666666667" style="1" customWidth="1"/>
  </cols>
  <sheetData>
    <row r="2" spans="1:1">
      <c r="A2" s="1" t="s">
        <v>78</v>
      </c>
    </row>
    <row r="3" spans="1:1">
      <c r="A3" s="1" t="s">
        <v>31</v>
      </c>
    </row>
    <row r="4" spans="1:1">
      <c r="A4" s="1" t="s">
        <v>79</v>
      </c>
    </row>
    <row r="5" spans="1:1">
      <c r="A5" s="1" t="s">
        <v>80</v>
      </c>
    </row>
    <row r="6" spans="1:1">
      <c r="A6" s="1" t="s">
        <v>81</v>
      </c>
    </row>
    <row r="7" spans="1:1">
      <c r="A7" s="1" t="s">
        <v>45</v>
      </c>
    </row>
    <row r="8" spans="1:1">
      <c r="A8" s="1" t="s">
        <v>82</v>
      </c>
    </row>
    <row r="9" spans="1:1">
      <c r="A9" s="1" t="s">
        <v>50</v>
      </c>
    </row>
    <row r="10" spans="1:1">
      <c r="A10" s="1" t="s">
        <v>81</v>
      </c>
    </row>
    <row r="11" spans="1:1">
      <c r="A11" s="1" t="s">
        <v>83</v>
      </c>
    </row>
    <row r="12" spans="1:1">
      <c r="A12" s="1">
        <v>8</v>
      </c>
    </row>
    <row r="13" spans="1:1">
      <c r="A13" s="1">
        <v>8.5</v>
      </c>
    </row>
    <row r="14" spans="1:1">
      <c r="A14" s="1">
        <v>9</v>
      </c>
    </row>
    <row r="15" spans="1:1">
      <c r="A15" s="1">
        <v>9.5</v>
      </c>
    </row>
    <row r="16" spans="1:1">
      <c r="A16" s="1">
        <v>10</v>
      </c>
    </row>
    <row r="17" spans="1:1">
      <c r="A17" s="1">
        <v>10.5</v>
      </c>
    </row>
    <row r="18" spans="1:1">
      <c r="A18" s="1">
        <v>11</v>
      </c>
    </row>
    <row r="19" spans="1:1">
      <c r="A19" s="1">
        <v>11.5</v>
      </c>
    </row>
    <row r="20" spans="1:1">
      <c r="A20" s="1">
        <v>12</v>
      </c>
    </row>
    <row r="21" spans="1:1">
      <c r="A21" s="1">
        <v>12.5</v>
      </c>
    </row>
    <row r="22" spans="1:1">
      <c r="A22" s="1">
        <v>13</v>
      </c>
    </row>
    <row r="23" spans="1:1">
      <c r="A23" s="1">
        <v>13.5</v>
      </c>
    </row>
    <row r="24" spans="1:1">
      <c r="A24" s="1">
        <v>14</v>
      </c>
    </row>
    <row r="25" spans="1:1">
      <c r="A25" s="1">
        <v>14.5</v>
      </c>
    </row>
    <row r="26" spans="1:1">
      <c r="A26" s="1">
        <v>15</v>
      </c>
    </row>
    <row r="27" spans="1:1">
      <c r="A27" s="1">
        <v>15.5</v>
      </c>
    </row>
    <row r="28" spans="1:1">
      <c r="A28" s="1">
        <v>16</v>
      </c>
    </row>
    <row r="29" spans="1:1">
      <c r="A29" s="1">
        <v>16.5</v>
      </c>
    </row>
    <row r="30" spans="1:1">
      <c r="A30" s="1">
        <v>17</v>
      </c>
    </row>
    <row r="31" spans="1:1">
      <c r="A31" s="1">
        <v>17.5</v>
      </c>
    </row>
    <row r="32" spans="1:1">
      <c r="A32" s="1">
        <v>18</v>
      </c>
    </row>
    <row r="33" spans="1:1">
      <c r="A33" s="1">
        <v>18.5</v>
      </c>
    </row>
    <row r="34" spans="1:1">
      <c r="A34" s="1">
        <v>19</v>
      </c>
    </row>
    <row r="35" spans="1:1">
      <c r="A35" s="1">
        <v>19.5</v>
      </c>
    </row>
    <row r="36" spans="1:1">
      <c r="A36" s="1">
        <v>20</v>
      </c>
    </row>
    <row r="37" spans="1:1">
      <c r="A37" s="1">
        <v>20.5</v>
      </c>
    </row>
    <row r="38" spans="1:1">
      <c r="A38" s="1">
        <v>21</v>
      </c>
    </row>
    <row r="39" spans="1:1">
      <c r="A39" s="1">
        <v>21.5</v>
      </c>
    </row>
    <row r="40" spans="1:1">
      <c r="A40" s="1">
        <v>22</v>
      </c>
    </row>
    <row r="41" spans="1:1">
      <c r="A41" s="1">
        <v>22.5</v>
      </c>
    </row>
    <row r="42" spans="1:1">
      <c r="A42" s="1">
        <v>23</v>
      </c>
    </row>
    <row r="43" spans="1:1">
      <c r="A43" s="1">
        <v>23.5</v>
      </c>
    </row>
    <row r="44" spans="1:1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5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October 1 - 15, 2025</vt:lpstr>
      <vt:lpstr>September 16 - 30, 2025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Ford Gozar</cp:lastModifiedBy>
  <dcterms:created xsi:type="dcterms:W3CDTF">2025-09-25T07:44:00Z</dcterms:created>
  <cp:lastPrinted>2025-10-01T07:40:00Z</cp:lastPrinted>
  <dcterms:modified xsi:type="dcterms:W3CDTF">2025-10-03T07:17:29Z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852034C8775F46F5A98B15EC2A850E1C_12</vt:lpwstr>
  </property>
  <property fmtid="{D5CDD505-2E9C-101B-9397-08002B2CF9AE}" pid="3" name="KSOProductBuildVer">
    <vt:lpwstr>1033-12.2.0.22549</vt:lpwstr>
  </property>
</Properties>
</file>