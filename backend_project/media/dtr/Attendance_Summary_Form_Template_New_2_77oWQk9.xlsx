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UMMARY FORM" sheetId="1" r:id="rId1"/>
    <sheet name="Sheet3" sheetId="3" state="hidden" r:id="rId2"/>
  </sheets>
  <definedNames>
    <definedName name="_xlnm.Print_Area" localSheetId="0">'SUMMARY FORM'!$A$1:$AD$37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<sst xmlns="http://schemas.openxmlformats.org/spreadsheetml/2006/main" count="108" uniqueCount="76">
  <si>
    <t>PROFESSIONAL MAINTENANCE GROUP, INC.</t>
  </si>
  <si>
    <t xml:space="preserve">ATTENDANCE SUMMARY FORM </t>
  </si>
  <si>
    <t>OPS-FRM009-01-10012025</t>
  </si>
  <si>
    <t>PROJECT</t>
  </si>
  <si>
    <t>THE CITY FLATS BGC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</si>
  <si>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</si>
  <si>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</si>
  <si>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</si>
  <si>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</si>
  <si>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</si>
  <si>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</si>
  <si>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</si>
  <si>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</si>
  <si>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</si>
  <si>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</si>
  <si>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</si>
  <si>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</si>
  <si>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</si>
  <si>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</si>
  <si>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</si>
  <si>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</si>
  <si>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</si>
  <si>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</si>
  <si>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</si>
  <si>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</si>
  <si>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</si>
  <si>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MONREAL LAURO JR</t>
  </si>
  <si>
    <t>PM01323</t>
  </si>
  <si>
    <t>SUPERVISOR</t>
  </si>
  <si>
    <t>AM SHIFT</t>
  </si>
  <si>
    <t>7AM-8PM</t>
  </si>
  <si>
    <t>D</t>
  </si>
  <si>
    <t>PELAYO ANTHONY</t>
  </si>
  <si>
    <t>PM03126</t>
  </si>
  <si>
    <t>TEAMLEADER</t>
  </si>
  <si>
    <t>TOLEDO MARIE FE</t>
  </si>
  <si>
    <t>PM02929</t>
  </si>
  <si>
    <t>HOUSEKEEPING</t>
  </si>
  <si>
    <t>PM SHIFT</t>
  </si>
  <si>
    <t>7PM-8AM</t>
  </si>
  <si>
    <t>GUMABONG TROY</t>
  </si>
  <si>
    <t>PM03997</t>
  </si>
  <si>
    <t>ESCO REYGIE</t>
  </si>
  <si>
    <t>PM04553</t>
  </si>
  <si>
    <t>10AM-23PM</t>
  </si>
  <si>
    <t>JUNIO RICHARD</t>
  </si>
  <si>
    <t>PM0822</t>
  </si>
  <si>
    <t>FERNANDEZ JAYFEE</t>
  </si>
  <si>
    <t>PM02247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</si>
  <si>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</si>
  <si>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</si>
  <si>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</si>
  <si>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</si>
  <si>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</si>
  <si>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</si>
  <si>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</si>
  <si>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LAURO MONREAL JR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</si>
  <si>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</si>
  <si>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</si>
  <si>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</si>
  <si>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</si>
  <si>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</si>
  <si>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</si>
  <si>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</si>
  <si>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</si>
  <si>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</si>
  <si>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</si>
  <si>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</si>
  <si>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</si>
  <si>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A</t>
  </si>
  <si>
    <t>L</t>
  </si>
  <si>
    <t>LR</t>
  </si>
  <si>
    <t>RS</t>
  </si>
  <si>
    <t>T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</si>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</sst>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d\,\ yyyy"/>
  </numFmts>
  <fonts count="29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sz val="11"/>
      <name val="Leelawadee"/>
      <charset val="0"/>
    </font>
    <font>
      <b/>
      <sz val="12"/>
      <name val="Leelawadee"/>
      <charset val="134"/>
    </font>
    <font>
      <sz val="12"/>
      <name val="Leelawadee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37" applyNumberFormat="0" applyAlignment="0" applyProtection="0">
      <alignment vertical="center"/>
    </xf>
    <xf numFmtId="0" fontId="19" fillId="6" borderId="38" applyNumberFormat="0" applyAlignment="0" applyProtection="0">
      <alignment vertical="center"/>
    </xf>
    <xf numFmtId="0" fontId="20" fillId="6" borderId="37" applyNumberFormat="0" applyAlignment="0" applyProtection="0">
      <alignment vertical="center"/>
    </xf>
    <xf numFmtId="0" fontId="21" fillId="7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9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176" fontId="4" fillId="2" borderId="15" xfId="0" applyNumberFormat="1" applyFont="1" applyFill="1" applyBorder="1" applyAlignment="1">
      <alignment horizontal="center" vertical="top" wrapText="1"/>
    </xf>
    <xf numFmtId="176" fontId="4" fillId="2" borderId="16" xfId="0" applyNumberFormat="1" applyFont="1" applyFill="1" applyBorder="1" applyAlignment="1">
      <alignment horizontal="center" vertical="top" wrapText="1"/>
    </xf>
    <xf numFmtId="176" fontId="4" fillId="2" borderId="0" xfId="0" applyNumberFormat="1" applyFont="1" applyFill="1" applyAlignment="1">
      <alignment horizontal="center" vertical="top" wrapText="1"/>
    </xf>
    <xf numFmtId="176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76" fontId="4" fillId="2" borderId="17" xfId="0" applyNumberFormat="1" applyFont="1" applyFill="1" applyBorder="1" applyAlignment="1">
      <alignment horizontal="center"/>
    </xf>
    <xf numFmtId="176" fontId="4" fillId="2" borderId="16" xfId="0" applyNumberFormat="1" applyFont="1" applyFill="1" applyBorder="1" applyAlignment="1">
      <alignment horizontal="center"/>
    </xf>
    <xf numFmtId="176" fontId="4" fillId="2" borderId="0" xfId="0" applyNumberFormat="1" applyFont="1" applyFill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0" xfId="0" applyFont="1" applyFill="1"/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wrapText="1"/>
    </xf>
    <xf numFmtId="0" fontId="6" fillId="2" borderId="17" xfId="0" applyFont="1" applyFill="1" applyBorder="1" applyAlignment="1">
      <alignment horizontal="center"/>
    </xf>
    <xf numFmtId="0" fontId="4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3" tint="0.749961851863155"/>
        </patternFill>
      </fill>
    </dxf>
    <dxf>
      <font>
        <b val="1"/>
        <i val="0"/>
        <color rgb="FFFF0000"/>
      </font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FF6161"/>
      <color rgb="00DEE165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86055"/>
          <a:ext cx="1499235" cy="1000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571499</xdr:colOff>
      <xdr:row>5</xdr:row>
      <xdr:rowOff>0</xdr:rowOff>
    </xdr:from>
    <xdr:ext cx="822937" cy="212480"/>
    <xdr:sp>
      <xdr:nvSpPr>
        <xdr:cNvPr id="2" name="TextBox 1"/>
        <xdr:cNvSpPr txBox="1"/>
      </xdr:nvSpPr>
      <xdr:spPr>
        <a:xfrm>
          <a:off x="19431000" y="977265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27</xdr:col>
      <xdr:colOff>450474</xdr:colOff>
      <xdr:row>5</xdr:row>
      <xdr:rowOff>956</xdr:rowOff>
    </xdr:from>
    <xdr:ext cx="822527" cy="211524"/>
    <xdr:sp>
      <xdr:nvSpPr>
        <xdr:cNvPr id="3" name="TextBox 2"/>
        <xdr:cNvSpPr txBox="1"/>
      </xdr:nvSpPr>
      <xdr:spPr>
        <a:xfrm>
          <a:off x="18345150" y="977900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D39"/>
  <sheetViews>
    <sheetView tabSelected="1" view="pageBreakPreview" zoomScale="85" zoomScaleNormal="70" topLeftCell="A7" workbookViewId="0">
      <selection activeCell="F31" sqref="F31"/>
    </sheetView>
  </sheetViews>
  <sheetFormatPr defaultColWidth="9" defaultRowHeight="13.8"/>
  <cols>
    <col min="1" max="1" width="4.14166666666667" style="2" customWidth="1"/>
    <col min="2" max="2" width="6.575" style="2" customWidth="1"/>
    <col min="3" max="3" width="25.575" style="2" customWidth="1"/>
    <col min="4" max="4" width="12" style="2" customWidth="1"/>
    <col min="5" max="5" width="17.7166666666667" style="2" customWidth="1"/>
    <col min="6" max="6" width="14.1416666666667" style="2" customWidth="1"/>
    <col min="7" max="7" width="13.0666666666667" style="2" customWidth="1"/>
    <col min="8" max="22" width="5.71666666666667" style="2" customWidth="1"/>
    <col min="23" max="24" width="10.425" style="3" customWidth="1"/>
    <col min="25" max="25" width="16.9916666666667" style="3" customWidth="1"/>
    <col min="26" max="26" width="9.275" style="3" customWidth="1"/>
    <col min="27" max="27" width="8.75833333333333" style="3" customWidth="1"/>
    <col min="28" max="28" width="12.6666666666667" style="3" customWidth="1"/>
    <col min="29" max="29" width="9.225" style="3" customWidth="1"/>
    <col min="30" max="30" width="10.425" style="2" customWidth="1"/>
    <col min="31" max="16384" width="9.14166666666667" style="2"/>
  </cols>
  <sheetData>
    <row r="1" ht="14.55"/>
    <row r="2" ht="15.6" spans="2:30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8"/>
    </row>
    <row r="3" ht="15.6" spans="2:30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79"/>
    </row>
    <row r="4" ht="15.6" spans="2:30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80"/>
    </row>
    <row r="5" ht="15.6" spans="2:30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79"/>
    </row>
    <row r="6" ht="16.5" customHeight="1" spans="2:30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81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9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1" ht="14.55"/>
    <row r="12" ht="21.75" customHeight="1" spans="2:30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60" t="str">
        <f t="shared" ref="I12:W12" si="0">IF(COLUMN()-COLUMN($H$12)&lt;=$D$10-$D9+1,TEXT($D$9+COLUMN()-COLUMN($H$12),"ddd"),"")</f>
        <v>Wed</v>
      </c>
      <c r="J12" s="60" t="str">
        <f t="shared" si="0"/>
        <v>Thu</v>
      </c>
      <c r="K12" s="60" t="str">
        <f t="shared" si="0"/>
        <v>Fri</v>
      </c>
      <c r="L12" s="60" t="str">
        <f t="shared" si="0"/>
        <v>Sat</v>
      </c>
      <c r="M12" s="60" t="str">
        <f t="shared" si="0"/>
        <v>Sun</v>
      </c>
      <c r="N12" s="60" t="str">
        <f t="shared" si="0"/>
        <v>Mon</v>
      </c>
      <c r="O12" s="60" t="str">
        <f t="shared" si="0"/>
        <v>Tue</v>
      </c>
      <c r="P12" s="60" t="str">
        <f t="shared" si="0"/>
        <v>Wed</v>
      </c>
      <c r="Q12" s="60" t="str">
        <f t="shared" si="0"/>
        <v>Thu</v>
      </c>
      <c r="R12" s="60" t="str">
        <f t="shared" si="0"/>
        <v>Fri</v>
      </c>
      <c r="S12" s="60" t="str">
        <f t="shared" si="0"/>
        <v>Sat</v>
      </c>
      <c r="T12" s="60" t="str">
        <f t="shared" si="0"/>
        <v>Sun</v>
      </c>
      <c r="U12" s="60" t="str">
        <f t="shared" si="0"/>
        <v>Mon</v>
      </c>
      <c r="V12" s="65" t="str">
        <f t="shared" si="0"/>
        <v>Tue</v>
      </c>
      <c r="W12" s="66" t="s">
        <v>13</v>
      </c>
      <c r="X12" s="67" t="s">
        <v>13</v>
      </c>
      <c r="Y12" s="67" t="s">
        <v>14</v>
      </c>
      <c r="Z12" s="67" t="s">
        <v>15</v>
      </c>
      <c r="AA12" s="67" t="s">
        <v>16</v>
      </c>
      <c r="AB12" s="67" t="s">
        <v>17</v>
      </c>
      <c r="AC12" s="67" t="s">
        <v>18</v>
      </c>
      <c r="AD12" s="31" t="s">
        <v>19</v>
      </c>
    </row>
    <row r="13" ht="13.5" customHeight="1" spans="2:30">
      <c r="B13" s="34"/>
      <c r="C13" s="34"/>
      <c r="D13" s="34"/>
      <c r="E13" s="34"/>
      <c r="F13" s="34"/>
      <c r="G13" s="35"/>
      <c r="H13" s="36">
        <f t="shared" ref="H13:W13" si="1">IF(COLUMN()-COLUMN($H$13)&lt;=$D$10-$D$9+1,DAY($D$9+COLUMN()-COLUMN($H$13)),"")</f>
        <v>16</v>
      </c>
      <c r="I13" s="61">
        <f t="shared" si="1"/>
        <v>17</v>
      </c>
      <c r="J13" s="61">
        <f t="shared" si="1"/>
        <v>18</v>
      </c>
      <c r="K13" s="61">
        <f t="shared" si="1"/>
        <v>19</v>
      </c>
      <c r="L13" s="61">
        <f t="shared" si="1"/>
        <v>20</v>
      </c>
      <c r="M13" s="61">
        <f t="shared" si="1"/>
        <v>21</v>
      </c>
      <c r="N13" s="61">
        <f t="shared" si="1"/>
        <v>22</v>
      </c>
      <c r="O13" s="61">
        <f t="shared" si="1"/>
        <v>23</v>
      </c>
      <c r="P13" s="61">
        <f t="shared" si="1"/>
        <v>24</v>
      </c>
      <c r="Q13" s="61">
        <f t="shared" si="1"/>
        <v>25</v>
      </c>
      <c r="R13" s="61">
        <f t="shared" si="1"/>
        <v>26</v>
      </c>
      <c r="S13" s="61">
        <f t="shared" si="1"/>
        <v>27</v>
      </c>
      <c r="T13" s="61">
        <f t="shared" si="1"/>
        <v>28</v>
      </c>
      <c r="U13" s="61">
        <f t="shared" si="1"/>
        <v>29</v>
      </c>
      <c r="V13" s="68">
        <f t="shared" si="1"/>
        <v>30</v>
      </c>
      <c r="W13" s="69" t="s">
        <v>20</v>
      </c>
      <c r="X13" s="31" t="s">
        <v>21</v>
      </c>
      <c r="Y13" s="31" t="s">
        <v>22</v>
      </c>
      <c r="Z13" s="31" t="s">
        <v>23</v>
      </c>
      <c r="AA13" s="31" t="s">
        <v>24</v>
      </c>
      <c r="AB13" s="31" t="s">
        <v>25</v>
      </c>
      <c r="AC13" s="31" t="s">
        <v>24</v>
      </c>
      <c r="AD13" s="34"/>
    </row>
    <row r="14" ht="11.25" customHeight="1" spans="2:30">
      <c r="B14" s="37"/>
      <c r="C14" s="37"/>
      <c r="D14" s="37"/>
      <c r="E14" s="37"/>
      <c r="F14" s="37"/>
      <c r="G14" s="38"/>
      <c r="H14" s="39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70"/>
      <c r="W14" s="71"/>
      <c r="X14" s="37"/>
      <c r="Y14" s="37"/>
      <c r="Z14" s="37"/>
      <c r="AA14" s="37"/>
      <c r="AB14" s="37"/>
      <c r="AC14" s="37"/>
      <c r="AD14" s="37"/>
    </row>
    <row r="15" ht="24.95" customHeight="1" spans="2:30">
      <c r="B15" s="40">
        <f>ROW()-14</f>
        <v>1</v>
      </c>
      <c r="C15" s="41" t="s">
        <v>26</v>
      </c>
      <c r="D15" s="41" t="s">
        <v>27</v>
      </c>
      <c r="E15" s="41" t="s">
        <v>28</v>
      </c>
      <c r="F15" s="41" t="s">
        <v>29</v>
      </c>
      <c r="G15" s="42" t="s">
        <v>30</v>
      </c>
      <c r="H15" s="43">
        <v>12</v>
      </c>
      <c r="I15" s="46">
        <v>12</v>
      </c>
      <c r="J15" s="46">
        <v>12</v>
      </c>
      <c r="K15" s="46">
        <v>12</v>
      </c>
      <c r="L15" s="46">
        <v>12</v>
      </c>
      <c r="M15" s="46" t="s">
        <v>31</v>
      </c>
      <c r="N15" s="46">
        <v>12</v>
      </c>
      <c r="O15" s="46">
        <v>12</v>
      </c>
      <c r="P15" s="46">
        <v>12</v>
      </c>
      <c r="Q15" s="46">
        <v>12</v>
      </c>
      <c r="R15" s="46">
        <v>12</v>
      </c>
      <c r="S15" s="46">
        <v>12</v>
      </c>
      <c r="T15" s="46" t="s">
        <v>31</v>
      </c>
      <c r="U15" s="46">
        <v>12</v>
      </c>
      <c r="V15" s="72">
        <v>12</v>
      </c>
      <c r="W15" s="73" cm="1">
        <f t="array" ref="W15">SUMPRODUCT(--ISNUMBER(H15:V15),--($H$14:$V$14&lt;&gt;"LH"),--($H$14:$V$14&lt;&gt;"SH"))</f>
        <v>13</v>
      </c>
      <c r="X15" s="46">
        <f>W15*8</f>
        <v>104</v>
      </c>
      <c r="Y15" s="46"/>
      <c r="Z15" s="46">
        <f>SUM(H15:V15)-AA15-AC15-X15</f>
        <v>52</v>
      </c>
      <c r="AA15" s="46">
        <f>SUMIF($H$14:$V$14,"LH",$H15:$V15)</f>
        <v>0</v>
      </c>
      <c r="AB15" s="46"/>
      <c r="AC15" s="46">
        <f>SUMIF($H$14:$V$14,"SH",$H15:$V15)</f>
        <v>0</v>
      </c>
      <c r="AD15" s="82"/>
    </row>
    <row r="16" ht="24.95" customHeight="1" spans="2:30">
      <c r="B16" s="40">
        <f t="shared" ref="B16:B46" si="2">ROW()-14</f>
        <v>2</v>
      </c>
      <c r="C16" s="41" t="s">
        <v>32</v>
      </c>
      <c r="D16" s="41" t="s">
        <v>33</v>
      </c>
      <c r="E16" s="41" t="s">
        <v>34</v>
      </c>
      <c r="F16" s="41" t="s">
        <v>29</v>
      </c>
      <c r="G16" s="42" t="s">
        <v>30</v>
      </c>
      <c r="H16" s="43">
        <v>12</v>
      </c>
      <c r="I16" s="46" t="s">
        <v>31</v>
      </c>
      <c r="J16" s="46">
        <v>12</v>
      </c>
      <c r="K16" s="46">
        <v>12</v>
      </c>
      <c r="L16" s="46">
        <v>12</v>
      </c>
      <c r="M16" s="46">
        <v>12</v>
      </c>
      <c r="N16" s="46">
        <v>12</v>
      </c>
      <c r="O16" s="46">
        <v>12</v>
      </c>
      <c r="P16" s="46" t="s">
        <v>31</v>
      </c>
      <c r="Q16" s="46">
        <v>12</v>
      </c>
      <c r="R16" s="46">
        <v>12</v>
      </c>
      <c r="S16" s="46">
        <v>12</v>
      </c>
      <c r="T16" s="46">
        <v>12</v>
      </c>
      <c r="U16" s="46">
        <v>12</v>
      </c>
      <c r="V16" s="72">
        <v>12</v>
      </c>
      <c r="W16" s="73" cm="1">
        <f t="array" ref="W16">SUMPRODUCT(--ISNUMBER(H16:V16),--($H$14:$V$14&lt;&gt;"LH"),--($H$14:$V$14&lt;&gt;"SH"))</f>
        <v>13</v>
      </c>
      <c r="X16" s="46">
        <f t="shared" ref="X16:X46" si="3">W16*8</f>
        <v>104</v>
      </c>
      <c r="Y16" s="46"/>
      <c r="Z16" s="46">
        <f t="shared" ref="Z16:Z46" si="4">SUM(H16:V16)-AA16-AC16-X16</f>
        <v>52</v>
      </c>
      <c r="AA16" s="46">
        <f t="shared" ref="AA16:AA46" si="5">SUMIF($H$14:$V$14,"LH",$H16:$V16)</f>
        <v>0</v>
      </c>
      <c r="AB16" s="46"/>
      <c r="AC16" s="46">
        <f t="shared" ref="AC16:AC46" si="6">SUMIF($H$14:$V$14,"SH",$H16:$V16)</f>
        <v>0</v>
      </c>
      <c r="AD16" s="82"/>
    </row>
    <row r="17" ht="24.95" customHeight="1" spans="2:30">
      <c r="B17" s="40">
        <f t="shared" si="2"/>
        <v>3</v>
      </c>
      <c r="C17" s="41" t="s">
        <v>35</v>
      </c>
      <c r="D17" s="44" t="s">
        <v>36</v>
      </c>
      <c r="E17" s="41" t="s">
        <v>37</v>
      </c>
      <c r="F17" s="41" t="s">
        <v>38</v>
      </c>
      <c r="G17" s="42" t="s">
        <v>39</v>
      </c>
      <c r="H17" s="43">
        <v>12</v>
      </c>
      <c r="I17" s="46">
        <v>12</v>
      </c>
      <c r="J17" s="46">
        <v>12</v>
      </c>
      <c r="K17" s="46">
        <v>12</v>
      </c>
      <c r="L17" s="46">
        <v>12</v>
      </c>
      <c r="M17" s="46">
        <v>12</v>
      </c>
      <c r="N17" s="46" t="s">
        <v>31</v>
      </c>
      <c r="O17" s="46">
        <v>12</v>
      </c>
      <c r="P17" s="46">
        <v>12</v>
      </c>
      <c r="Q17" s="46">
        <v>12</v>
      </c>
      <c r="R17" s="46">
        <v>12</v>
      </c>
      <c r="S17" s="46">
        <v>12</v>
      </c>
      <c r="T17" s="46">
        <v>12</v>
      </c>
      <c r="U17" s="46" t="s">
        <v>31</v>
      </c>
      <c r="V17" s="72">
        <v>12</v>
      </c>
      <c r="W17" s="73" cm="1">
        <f t="array" ref="W17">SUMPRODUCT(--ISNUMBER(H17:V17),--($H$14:$V$14&lt;&gt;"LH"),--($H$14:$V$14&lt;&gt;"SH"))</f>
        <v>13</v>
      </c>
      <c r="X17" s="46">
        <f t="shared" si="3"/>
        <v>104</v>
      </c>
      <c r="Y17" s="46"/>
      <c r="Z17" s="46">
        <f t="shared" si="4"/>
        <v>52</v>
      </c>
      <c r="AA17" s="46">
        <f t="shared" si="5"/>
        <v>0</v>
      </c>
      <c r="AB17" s="46"/>
      <c r="AC17" s="46">
        <f t="shared" si="6"/>
        <v>0</v>
      </c>
      <c r="AD17" s="82"/>
    </row>
    <row r="18" ht="24.95" customHeight="1" spans="2:30">
      <c r="B18" s="40">
        <f t="shared" si="2"/>
        <v>4</v>
      </c>
      <c r="C18" s="41" t="s">
        <v>40</v>
      </c>
      <c r="D18" s="41" t="s">
        <v>41</v>
      </c>
      <c r="E18" s="41" t="s">
        <v>37</v>
      </c>
      <c r="F18" s="41" t="s">
        <v>29</v>
      </c>
      <c r="G18" s="42" t="s">
        <v>30</v>
      </c>
      <c r="H18" s="43" t="s">
        <v>31</v>
      </c>
      <c r="I18" s="46">
        <v>12</v>
      </c>
      <c r="J18" s="46">
        <v>12</v>
      </c>
      <c r="K18" s="46">
        <v>12</v>
      </c>
      <c r="L18" s="46">
        <v>12</v>
      </c>
      <c r="M18" s="46">
        <v>12</v>
      </c>
      <c r="N18" s="46">
        <v>12</v>
      </c>
      <c r="O18" s="46" t="s">
        <v>31</v>
      </c>
      <c r="P18" s="46">
        <v>12</v>
      </c>
      <c r="Q18" s="46">
        <v>12</v>
      </c>
      <c r="R18" s="46">
        <v>12</v>
      </c>
      <c r="S18" s="46">
        <v>12</v>
      </c>
      <c r="T18" s="46">
        <v>12</v>
      </c>
      <c r="U18" s="46">
        <v>9.5</v>
      </c>
      <c r="V18" s="72" t="s">
        <v>31</v>
      </c>
      <c r="W18" s="73" cm="1">
        <f t="array" ref="W18">SUMPRODUCT(--ISNUMBER(H18:V18),--($H$14:$V$14&lt;&gt;"LH"),--($H$14:$V$14&lt;&gt;"SH"))</f>
        <v>12</v>
      </c>
      <c r="X18" s="46">
        <f t="shared" si="3"/>
        <v>96</v>
      </c>
      <c r="Y18" s="46"/>
      <c r="Z18" s="46">
        <f t="shared" si="4"/>
        <v>45.5</v>
      </c>
      <c r="AA18" s="46">
        <f t="shared" si="5"/>
        <v>0</v>
      </c>
      <c r="AB18" s="46"/>
      <c r="AC18" s="46">
        <f t="shared" si="6"/>
        <v>0</v>
      </c>
      <c r="AD18" s="82"/>
    </row>
    <row r="19" ht="24.95" customHeight="1" spans="2:30">
      <c r="B19" s="40">
        <f t="shared" si="2"/>
        <v>5</v>
      </c>
      <c r="C19" s="41" t="s">
        <v>42</v>
      </c>
      <c r="D19" s="41" t="s">
        <v>43</v>
      </c>
      <c r="E19" s="41" t="s">
        <v>37</v>
      </c>
      <c r="F19" s="41" t="s">
        <v>29</v>
      </c>
      <c r="G19" s="45" t="s">
        <v>44</v>
      </c>
      <c r="H19" s="43">
        <v>12</v>
      </c>
      <c r="I19" s="46">
        <v>12</v>
      </c>
      <c r="J19" s="46" t="s">
        <v>31</v>
      </c>
      <c r="K19" s="46">
        <v>12</v>
      </c>
      <c r="L19" s="46">
        <v>12</v>
      </c>
      <c r="M19" s="46">
        <v>12</v>
      </c>
      <c r="N19" s="46">
        <v>12</v>
      </c>
      <c r="O19" s="46">
        <v>12</v>
      </c>
      <c r="P19" s="46">
        <v>12</v>
      </c>
      <c r="Q19" s="46" t="s">
        <v>31</v>
      </c>
      <c r="R19" s="46">
        <v>12</v>
      </c>
      <c r="S19" s="46">
        <v>12</v>
      </c>
      <c r="T19" s="46">
        <v>12</v>
      </c>
      <c r="U19" s="46">
        <v>12</v>
      </c>
      <c r="V19" s="72">
        <v>12</v>
      </c>
      <c r="W19" s="73" cm="1">
        <f t="array" ref="W19">SUMPRODUCT(--ISNUMBER(H19:V19),--($H$14:$V$14&lt;&gt;"LH"),--($H$14:$V$14&lt;&gt;"SH"))</f>
        <v>13</v>
      </c>
      <c r="X19" s="46">
        <f t="shared" si="3"/>
        <v>104</v>
      </c>
      <c r="Y19" s="46"/>
      <c r="Z19" s="46">
        <f t="shared" si="4"/>
        <v>52</v>
      </c>
      <c r="AA19" s="46">
        <f t="shared" si="5"/>
        <v>0</v>
      </c>
      <c r="AB19" s="46"/>
      <c r="AC19" s="46">
        <f t="shared" si="6"/>
        <v>0</v>
      </c>
      <c r="AD19" s="82"/>
    </row>
    <row r="20" ht="24.95" customHeight="1" spans="2:30">
      <c r="B20" s="40">
        <f t="shared" si="2"/>
        <v>6</v>
      </c>
      <c r="C20" s="41" t="s">
        <v>45</v>
      </c>
      <c r="D20" s="41" t="s">
        <v>46</v>
      </c>
      <c r="E20" s="41" t="s">
        <v>37</v>
      </c>
      <c r="F20" s="41" t="s">
        <v>29</v>
      </c>
      <c r="G20" s="42" t="s">
        <v>30</v>
      </c>
      <c r="H20" s="43">
        <v>12</v>
      </c>
      <c r="I20" s="46">
        <v>12</v>
      </c>
      <c r="J20" s="46">
        <v>12</v>
      </c>
      <c r="K20" s="46" t="s">
        <v>31</v>
      </c>
      <c r="L20" s="46">
        <v>12</v>
      </c>
      <c r="M20" s="46">
        <v>12</v>
      </c>
      <c r="N20" s="46">
        <v>12</v>
      </c>
      <c r="O20" s="46">
        <v>12</v>
      </c>
      <c r="P20" s="46">
        <v>12</v>
      </c>
      <c r="Q20" s="46">
        <v>12</v>
      </c>
      <c r="R20" s="46" t="s">
        <v>31</v>
      </c>
      <c r="S20" s="46">
        <v>12</v>
      </c>
      <c r="T20" s="46">
        <v>12</v>
      </c>
      <c r="U20" s="46">
        <v>12</v>
      </c>
      <c r="V20" s="72">
        <v>12</v>
      </c>
      <c r="W20" s="73" cm="1">
        <f t="array" ref="W20">SUMPRODUCT(--ISNUMBER(H20:V20),--($H$14:$V$14&lt;&gt;"LH"),--($H$14:$V$14&lt;&gt;"SH"))</f>
        <v>13</v>
      </c>
      <c r="X20" s="46">
        <f t="shared" si="3"/>
        <v>104</v>
      </c>
      <c r="Y20" s="46"/>
      <c r="Z20" s="46">
        <f t="shared" si="4"/>
        <v>52</v>
      </c>
      <c r="AA20" s="46">
        <f t="shared" si="5"/>
        <v>0</v>
      </c>
      <c r="AB20" s="46"/>
      <c r="AC20" s="46">
        <f t="shared" si="6"/>
        <v>0</v>
      </c>
      <c r="AD20" s="82">
        <v>104</v>
      </c>
    </row>
    <row r="21" ht="24.95" customHeight="1" spans="2:30">
      <c r="B21" s="40">
        <f t="shared" si="2"/>
        <v>7</v>
      </c>
      <c r="C21" s="18"/>
      <c r="D21" s="20"/>
      <c r="E21" s="41"/>
      <c r="F21" s="41"/>
      <c r="G21" s="42"/>
      <c r="H21" s="43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72"/>
      <c r="W21" s="73" cm="1">
        <f t="array" ref="W21">SUMPRODUCT(--ISNUMBER(H21:V21),--($H$14:$V$14&lt;&gt;"LH"),--($H$14:$V$14&lt;&gt;"SH"))</f>
        <v>0</v>
      </c>
      <c r="X21" s="46">
        <f t="shared" si="3"/>
        <v>0</v>
      </c>
      <c r="Y21" s="46"/>
      <c r="Z21" s="46">
        <f t="shared" si="4"/>
        <v>0</v>
      </c>
      <c r="AA21" s="46">
        <f t="shared" si="5"/>
        <v>0</v>
      </c>
      <c r="AB21" s="46"/>
      <c r="AC21" s="46">
        <f t="shared" si="6"/>
        <v>0</v>
      </c>
      <c r="AD21" s="82"/>
    </row>
    <row r="22" ht="24.95" customHeight="1" spans="2:30">
      <c r="B22" s="40">
        <f t="shared" si="2"/>
        <v>8</v>
      </c>
      <c r="C22" s="41" t="s">
        <v>47</v>
      </c>
      <c r="D22" s="41" t="s">
        <v>48</v>
      </c>
      <c r="E22" s="41" t="s">
        <v>37</v>
      </c>
      <c r="F22" s="41" t="s">
        <v>29</v>
      </c>
      <c r="G22" s="42" t="s">
        <v>30</v>
      </c>
      <c r="H22" s="43">
        <v>12</v>
      </c>
      <c r="I22" s="46">
        <v>12</v>
      </c>
      <c r="J22" s="46">
        <v>12</v>
      </c>
      <c r="K22" s="46">
        <v>12</v>
      </c>
      <c r="L22" s="46" t="s">
        <v>31</v>
      </c>
      <c r="M22" s="46">
        <v>12</v>
      </c>
      <c r="N22" s="46">
        <v>12</v>
      </c>
      <c r="O22" s="46">
        <v>12</v>
      </c>
      <c r="P22" s="46">
        <v>12</v>
      </c>
      <c r="Q22" s="46">
        <v>12</v>
      </c>
      <c r="R22" s="46">
        <v>12</v>
      </c>
      <c r="S22" s="46" t="s">
        <v>31</v>
      </c>
      <c r="T22" s="46">
        <v>12</v>
      </c>
      <c r="U22" s="46">
        <v>12</v>
      </c>
      <c r="V22" s="72">
        <v>12</v>
      </c>
      <c r="W22" s="73" cm="1">
        <f t="array" ref="W22">SUMPRODUCT(--ISNUMBER(H22:V22),--($H$14:$V$14&lt;&gt;"LH"),--($H$14:$V$14&lt;&gt;"SH"))</f>
        <v>13</v>
      </c>
      <c r="X22" s="46">
        <f t="shared" si="3"/>
        <v>104</v>
      </c>
      <c r="Y22" s="46"/>
      <c r="Z22" s="46">
        <f t="shared" si="4"/>
        <v>52</v>
      </c>
      <c r="AA22" s="46">
        <f t="shared" si="5"/>
        <v>0</v>
      </c>
      <c r="AB22" s="46"/>
      <c r="AC22" s="46">
        <f t="shared" si="6"/>
        <v>0</v>
      </c>
      <c r="AD22" s="82">
        <v>16</v>
      </c>
    </row>
    <row r="23" ht="24.95" customHeight="1" spans="2:30">
      <c r="B23" s="40">
        <f t="shared" si="2"/>
        <v>9</v>
      </c>
      <c r="C23" s="41"/>
      <c r="D23" s="41"/>
      <c r="E23" s="41"/>
      <c r="F23" s="41"/>
      <c r="G23" s="42"/>
      <c r="H23" s="43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72"/>
      <c r="W23" s="73" cm="1">
        <f t="array" ref="W23">SUMPRODUCT(--ISNUMBER(H23:V23),--($H$14:$V$14&lt;&gt;"LH"),--($H$14:$V$14&lt;&gt;"SH"))</f>
        <v>0</v>
      </c>
      <c r="X23" s="46">
        <f t="shared" si="3"/>
        <v>0</v>
      </c>
      <c r="Y23" s="46"/>
      <c r="Z23" s="46">
        <f t="shared" si="4"/>
        <v>0</v>
      </c>
      <c r="AA23" s="46">
        <f t="shared" si="5"/>
        <v>0</v>
      </c>
      <c r="AB23" s="46"/>
      <c r="AC23" s="46">
        <f t="shared" si="6"/>
        <v>0</v>
      </c>
      <c r="AD23" s="82"/>
    </row>
    <row r="24" ht="22.5" customHeight="1" spans="2:30">
      <c r="B24" s="46"/>
      <c r="C24" s="41"/>
      <c r="D24" s="41"/>
      <c r="E24" s="18" t="s">
        <v>49</v>
      </c>
      <c r="F24" s="19"/>
      <c r="G24" s="47">
        <f>SUM(H24:V24)</f>
        <v>90</v>
      </c>
      <c r="H24" s="48">
        <f t="shared" ref="H24:W24" si="7">COUNTA(H15:H23)-COUNTIF(H15:H23,"A")-COUNTIF(H15:H23,"D")-COUNTIF(H15:H23,"L")</f>
        <v>6</v>
      </c>
      <c r="I24" s="63">
        <f t="shared" si="7"/>
        <v>6</v>
      </c>
      <c r="J24" s="63">
        <f t="shared" si="7"/>
        <v>6</v>
      </c>
      <c r="K24" s="63">
        <f t="shared" si="7"/>
        <v>6</v>
      </c>
      <c r="L24" s="63">
        <f t="shared" si="7"/>
        <v>6</v>
      </c>
      <c r="M24" s="63">
        <f t="shared" si="7"/>
        <v>6</v>
      </c>
      <c r="N24" s="63">
        <f t="shared" si="7"/>
        <v>6</v>
      </c>
      <c r="O24" s="63">
        <f t="shared" si="7"/>
        <v>6</v>
      </c>
      <c r="P24" s="63">
        <f t="shared" si="7"/>
        <v>6</v>
      </c>
      <c r="Q24" s="63">
        <f t="shared" si="7"/>
        <v>6</v>
      </c>
      <c r="R24" s="63">
        <f t="shared" si="7"/>
        <v>6</v>
      </c>
      <c r="S24" s="63">
        <f t="shared" si="7"/>
        <v>6</v>
      </c>
      <c r="T24" s="63">
        <f t="shared" si="7"/>
        <v>6</v>
      </c>
      <c r="U24" s="63">
        <f t="shared" si="7"/>
        <v>6</v>
      </c>
      <c r="V24" s="74">
        <f t="shared" si="7"/>
        <v>6</v>
      </c>
      <c r="W24" s="75">
        <f t="shared" ref="W24:AD24" si="8">SUM(W15:W23)</f>
        <v>90</v>
      </c>
      <c r="X24" s="76">
        <f t="shared" si="8"/>
        <v>720</v>
      </c>
      <c r="Y24" s="76">
        <f t="shared" si="8"/>
        <v>0</v>
      </c>
      <c r="Z24" s="76">
        <f t="shared" si="8"/>
        <v>357.5</v>
      </c>
      <c r="AA24" s="76">
        <f t="shared" si="8"/>
        <v>0</v>
      </c>
      <c r="AB24" s="76">
        <f t="shared" si="8"/>
        <v>0</v>
      </c>
      <c r="AC24" s="76">
        <f t="shared" si="8"/>
        <v>0</v>
      </c>
      <c r="AD24" s="83">
        <f t="shared" si="8"/>
        <v>120</v>
      </c>
    </row>
    <row r="26" ht="15.6" spans="2:30">
      <c r="B26" s="49" t="s">
        <v>50</v>
      </c>
      <c r="H26" s="50" t="s">
        <v>51</v>
      </c>
      <c r="I26" s="50"/>
      <c r="J26" s="50"/>
      <c r="K26" s="50"/>
      <c r="R26" s="50" t="s">
        <v>52</v>
      </c>
      <c r="S26" s="50"/>
      <c r="T26" s="50"/>
      <c r="U26" s="50"/>
      <c r="Y26" s="84"/>
      <c r="Z26" s="56" t="s">
        <v>53</v>
      </c>
      <c r="AA26" s="85"/>
      <c r="AB26" s="86"/>
      <c r="AC26" s="87"/>
      <c r="AD26" s="84"/>
    </row>
    <row r="27" ht="15.6" spans="21:30">
      <c r="U27" s="57"/>
      <c r="Y27" s="87"/>
      <c r="Z27" s="58" t="s">
        <v>54</v>
      </c>
      <c r="AA27" s="88"/>
      <c r="AB27" s="89"/>
      <c r="AC27" s="87"/>
      <c r="AD27" s="57"/>
    </row>
    <row r="28" ht="15.6" spans="21:30">
      <c r="U28" s="57"/>
      <c r="Y28" s="87"/>
      <c r="Z28" s="58" t="s">
        <v>55</v>
      </c>
      <c r="AA28" s="88"/>
      <c r="AB28" s="89"/>
      <c r="AC28" s="87"/>
      <c r="AD28" s="57"/>
    </row>
    <row r="29" ht="15.6" spans="2:30">
      <c r="B29" s="51" t="s">
        <v>56</v>
      </c>
      <c r="C29" s="51"/>
      <c r="D29" s="51"/>
      <c r="E29" s="52"/>
      <c r="F29" s="52"/>
      <c r="G29" s="52"/>
      <c r="H29" s="51"/>
      <c r="I29" s="51"/>
      <c r="J29" s="51"/>
      <c r="K29" s="51"/>
      <c r="L29" s="51"/>
      <c r="M29" s="51"/>
      <c r="N29" s="51"/>
      <c r="O29" s="64"/>
      <c r="P29" s="64"/>
      <c r="Q29" s="64"/>
      <c r="R29" s="51"/>
      <c r="S29" s="51"/>
      <c r="T29" s="51"/>
      <c r="U29" s="51"/>
      <c r="V29" s="51"/>
      <c r="W29" s="51"/>
      <c r="Y29" s="87"/>
      <c r="Z29" s="58" t="s">
        <v>57</v>
      </c>
      <c r="AA29" s="88"/>
      <c r="AB29" s="89"/>
      <c r="AC29" s="87"/>
      <c r="AD29" s="57"/>
    </row>
    <row r="30" ht="15.75" customHeight="1" spans="2:30">
      <c r="B30" s="53" t="s">
        <v>28</v>
      </c>
      <c r="C30" s="53"/>
      <c r="D30" s="53"/>
      <c r="H30" s="54" t="s">
        <v>58</v>
      </c>
      <c r="I30" s="54"/>
      <c r="J30" s="54"/>
      <c r="K30" s="54"/>
      <c r="L30" s="54"/>
      <c r="M30" s="54"/>
      <c r="N30" s="54"/>
      <c r="O30" s="21"/>
      <c r="P30" s="21"/>
      <c r="Q30" s="21"/>
      <c r="R30" s="54" t="s">
        <v>59</v>
      </c>
      <c r="S30" s="54"/>
      <c r="T30" s="54"/>
      <c r="U30" s="54"/>
      <c r="V30" s="54"/>
      <c r="W30" s="54"/>
      <c r="Y30" s="87"/>
      <c r="Z30" s="58" t="s">
        <v>60</v>
      </c>
      <c r="AA30" s="58"/>
      <c r="AB30" s="87"/>
      <c r="AC30" s="87"/>
      <c r="AD30" s="57"/>
    </row>
    <row r="31" ht="15.6" spans="21:30">
      <c r="U31" s="57"/>
      <c r="Y31" s="87"/>
      <c r="Z31" s="58" t="s">
        <v>61</v>
      </c>
      <c r="AA31" s="88"/>
      <c r="AB31" s="89"/>
      <c r="AC31" s="87"/>
      <c r="AD31" s="57"/>
    </row>
    <row r="32" ht="15.6" spans="21:30">
      <c r="U32" s="57"/>
      <c r="Y32" s="87"/>
      <c r="Z32" s="58" t="s">
        <v>62</v>
      </c>
      <c r="AA32" s="88"/>
      <c r="AB32" s="89"/>
      <c r="AC32" s="87"/>
      <c r="AD32" s="57"/>
    </row>
    <row r="33" ht="15.6" spans="2:30">
      <c r="B33" s="55"/>
      <c r="C33" s="55"/>
      <c r="D33" s="55"/>
      <c r="E33" s="55"/>
      <c r="F33" s="55"/>
      <c r="G33" s="55"/>
      <c r="H33" s="55"/>
      <c r="I33" s="57"/>
      <c r="J33" s="57"/>
      <c r="K33" s="55"/>
      <c r="L33" s="55"/>
      <c r="M33" s="57"/>
      <c r="U33" s="58"/>
      <c r="Y33" s="87"/>
      <c r="Z33" s="58" t="s">
        <v>63</v>
      </c>
      <c r="AA33" s="58"/>
      <c r="AB33" s="87"/>
      <c r="AC33" s="87"/>
      <c r="AD33" s="57"/>
    </row>
    <row r="34" ht="15.6" spans="2:30">
      <c r="B34" s="55" t="s">
        <v>64</v>
      </c>
      <c r="C34" s="56"/>
      <c r="D34" s="56"/>
      <c r="E34" s="56"/>
      <c r="F34" s="56"/>
      <c r="G34" s="56"/>
      <c r="H34" s="56"/>
      <c r="I34" s="56"/>
      <c r="J34" s="58"/>
      <c r="K34" s="58"/>
      <c r="L34" s="56"/>
      <c r="M34" s="56"/>
      <c r="N34" s="57"/>
      <c r="O34" s="55"/>
      <c r="U34" s="57"/>
      <c r="Y34" s="87"/>
      <c r="Z34" s="58" t="s">
        <v>65</v>
      </c>
      <c r="AA34" s="58"/>
      <c r="AB34" s="87"/>
      <c r="AC34" s="87"/>
      <c r="AD34" s="57"/>
    </row>
    <row r="35" ht="15.6" spans="2:30">
      <c r="B35" s="57"/>
      <c r="C35" s="56"/>
      <c r="D35" s="58"/>
      <c r="E35" s="58"/>
      <c r="F35" s="58"/>
      <c r="G35" s="58"/>
      <c r="H35" s="58"/>
      <c r="I35" s="58"/>
      <c r="J35" s="58"/>
      <c r="K35" s="58"/>
      <c r="L35" s="56"/>
      <c r="M35" s="56"/>
      <c r="N35" s="57"/>
      <c r="O35" s="55"/>
      <c r="U35" s="57"/>
      <c r="Y35" s="87"/>
      <c r="Z35" s="58" t="s">
        <v>66</v>
      </c>
      <c r="AA35" s="58"/>
      <c r="AB35" s="87"/>
      <c r="AC35" s="87"/>
      <c r="AD35" s="57"/>
    </row>
    <row r="36" ht="15.6" spans="2:30">
      <c r="B36" s="57"/>
      <c r="C36" s="56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7"/>
      <c r="O36" s="55"/>
      <c r="U36" s="57"/>
      <c r="Y36" s="87"/>
      <c r="Z36" s="90" t="s">
        <v>67</v>
      </c>
      <c r="AA36" s="91"/>
      <c r="AB36" s="92"/>
      <c r="AC36" s="87"/>
      <c r="AD36" s="57"/>
    </row>
    <row r="37" ht="15.6" spans="21:30">
      <c r="U37" s="57"/>
      <c r="Y37" s="92"/>
      <c r="Z37" s="90" t="s">
        <v>68</v>
      </c>
      <c r="AA37" s="91"/>
      <c r="AB37" s="92"/>
      <c r="AC37" s="92"/>
      <c r="AD37" s="93"/>
    </row>
    <row r="38" ht="15.6" spans="2:30">
      <c r="B38" s="49"/>
      <c r="C38" s="49"/>
      <c r="D38" s="49"/>
      <c r="E38" s="49"/>
      <c r="F38" s="49"/>
      <c r="G38" s="49"/>
      <c r="H38" s="49"/>
      <c r="I38" s="49"/>
      <c r="U38" s="77"/>
      <c r="Y38" s="92"/>
      <c r="AC38" s="92"/>
      <c r="AD38" s="93"/>
    </row>
    <row r="39" ht="15.6" spans="21:30">
      <c r="U39" s="77"/>
      <c r="Y39" s="92"/>
      <c r="AC39" s="92"/>
      <c r="AD39" s="93"/>
    </row>
  </sheetData>
  <sheetProtection insertRows="0"/>
  <mergeCells count="30">
    <mergeCell ref="C6:AD6"/>
    <mergeCell ref="C8:F8"/>
    <mergeCell ref="D9:E9"/>
    <mergeCell ref="D10:E10"/>
    <mergeCell ref="C21:D21"/>
    <mergeCell ref="E24:F24"/>
    <mergeCell ref="H26:K26"/>
    <mergeCell ref="R26:U26"/>
    <mergeCell ref="B29:D29"/>
    <mergeCell ref="H29:N29"/>
    <mergeCell ref="R29:W29"/>
    <mergeCell ref="B30:D30"/>
    <mergeCell ref="H30:N30"/>
    <mergeCell ref="R30:W30"/>
    <mergeCell ref="B12:B14"/>
    <mergeCell ref="C12:C14"/>
    <mergeCell ref="D12:D14"/>
    <mergeCell ref="E12:E14"/>
    <mergeCell ref="F12:F14"/>
    <mergeCell ref="G12:G14"/>
    <mergeCell ref="W13:W14"/>
    <mergeCell ref="X13:X14"/>
    <mergeCell ref="Y13:Y14"/>
    <mergeCell ref="Z13:Z14"/>
    <mergeCell ref="AA13:AA14"/>
    <mergeCell ref="AB13:AB14"/>
    <mergeCell ref="AC13:AC14"/>
    <mergeCell ref="AD12:AD14"/>
    <mergeCell ref="C2:AD3"/>
    <mergeCell ref="C4:AD5"/>
  </mergeCells>
  <conditionalFormatting sqref="H12:V12">
    <cfRule type="expression" priority="30">
      <formula>TEXT($D$9+COLUMN()-COLUMN($H$12),"ddd")="Sun"</formula>
    </cfRule>
    <cfRule type="expression" dxfId="0" priority="31">
      <formula>TEXT($D$9+COLUMN()-COLUMN($H$12),"ddd")="Sun"</formula>
    </cfRule>
  </conditionalFormatting>
  <conditionalFormatting sqref="H14:V14">
    <cfRule type="containsBlanks" dxfId="1" priority="4">
      <formula>LEN(TRIM(H14))=0</formula>
    </cfRule>
    <cfRule type="expression" dxfId="2" priority="5">
      <formula>EXACT(H14,"S")</formula>
    </cfRule>
    <cfRule type="expression" dxfId="3" priority="6">
      <formula>EXACT(H14,"R")</formula>
    </cfRule>
    <cfRule type="expression" dxfId="4" priority="7">
      <formula>EXACT(H14,"T")</formula>
    </cfRule>
    <cfRule type="containsText" dxfId="5" priority="8" operator="between" text="SH">
      <formula>NOT(ISERROR(SEARCH("SH",H14)))</formula>
    </cfRule>
    <cfRule type="expression" dxfId="6" priority="9">
      <formula>EXACT(H14,"RS")</formula>
    </cfRule>
    <cfRule type="containsText" dxfId="7" priority="10" operator="between" text="LH">
      <formula>NOT(ISERROR(SEARCH("LH",H14)))</formula>
    </cfRule>
    <cfRule type="expression" dxfId="8" priority="11">
      <formula>EXACT(H14,"LR")</formula>
    </cfRule>
    <cfRule type="expression" dxfId="0" priority="12">
      <formula>EXACT(H14,"L")</formula>
    </cfRule>
    <cfRule type="expression" dxfId="9" priority="13">
      <formula>EXACT(H14,"D")</formula>
    </cfRule>
    <cfRule type="expression" dxfId="10" priority="14">
      <formula>EXACT(H14,"A")</formula>
    </cfRule>
  </conditionalFormatting>
  <conditionalFormatting sqref="H15:V15">
    <cfRule type="containsBlanks" dxfId="11" priority="15">
      <formula>LEN(TRIM(H15))=0</formula>
    </cfRule>
  </conditionalFormatting>
  <conditionalFormatting sqref="C15:AD20 C21 E21:AD21 C22:AD23">
    <cfRule type="containsBlanks" dxfId="11" priority="33">
      <formula>LEN(TRIM(C15))=0</formula>
    </cfRule>
  </conditionalFormatting>
  <conditionalFormatting sqref="H15:V23">
    <cfRule type="containsText" dxfId="12" priority="1" operator="between" text="12">
      <formula>NOT(ISERROR(SEARCH("12",H15)))</formula>
    </cfRule>
    <cfRule type="expression" dxfId="13" priority="2">
      <formula>H$14="LH"</formula>
    </cfRule>
    <cfRule type="expression" dxfId="14" priority="3" stopIfTrue="1">
      <formula>H$14="SH"</formula>
    </cfRule>
    <cfRule type="expression" dxfId="2" priority="18">
      <formula>EXACT(H15,"S")</formula>
    </cfRule>
    <cfRule type="expression" dxfId="3" priority="19">
      <formula>EXACT(H15,"R")</formula>
    </cfRule>
    <cfRule type="expression" dxfId="4" priority="20">
      <formula>EXACT(H15,"T")</formula>
    </cfRule>
    <cfRule type="containsText" dxfId="5" priority="22" operator="between" text="SH">
      <formula>NOT(ISERROR(SEARCH("SH",H15)))</formula>
    </cfRule>
    <cfRule type="expression" dxfId="15" priority="23">
      <formula>EXACT(H15,"RS")</formula>
    </cfRule>
    <cfRule type="containsText" dxfId="7" priority="25" operator="between" text="RH">
      <formula>NOT(ISERROR(SEARCH("RH",H15)))</formula>
    </cfRule>
    <cfRule type="expression" dxfId="8" priority="26">
      <formula>EXACT(H15,"LR")</formula>
    </cfRule>
    <cfRule type="expression" dxfId="0" priority="27">
      <formula>EXACT(H15,"L")</formula>
    </cfRule>
    <cfRule type="expression" dxfId="9" priority="28">
      <formula>EXACT(H15,"D")</formula>
    </cfRule>
    <cfRule type="expression" dxfId="10" priority="29">
      <formula>EXACT(H15,"A")</formula>
    </cfRule>
  </conditionalFormatting>
  <dataValidations count="2">
    <dataValidation type="list" allowBlank="1" showInputMessage="1" showErrorMessage="1" sqref="H14:V14">
      <formula1>"SH, LH"</formula1>
    </dataValidation>
    <dataValidation type="list" allowBlank="1" showInputMessage="1" showErrorMessage="1" sqref="H15:V23">
      <formula1>Sheet3!$A$2:$A$54</formula1>
    </dataValidation>
  </dataValidations>
  <pageMargins left="0" right="0" top="0" bottom="0.196850393700787" header="0" footer="0"/>
  <pageSetup paperSize="9" scale="51" fitToHeight="0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3"/>
  <sheetViews>
    <sheetView workbookViewId="0">
      <selection activeCell="G19" sqref="G19"/>
    </sheetView>
  </sheetViews>
  <sheetFormatPr defaultColWidth="9" defaultRowHeight="13.8"/>
  <cols>
    <col min="1" max="1" width="6.575" style="1" customWidth="1"/>
  </cols>
  <sheetData>
    <row r="2" spans="1:1">
      <c r="A2" s="1" t="s">
        <v>69</v>
      </c>
    </row>
    <row r="3" spans="1:1">
      <c r="A3" s="1" t="s">
        <v>31</v>
      </c>
    </row>
    <row r="4" spans="1:1">
      <c r="A4" s="1" t="s">
        <v>70</v>
      </c>
    </row>
    <row r="5" spans="1:1">
      <c r="A5" s="1" t="s">
        <v>71</v>
      </c>
    </row>
    <row r="6" spans="1:1">
      <c r="A6" s="1" t="s">
        <v>72</v>
      </c>
    </row>
    <row r="7" spans="1:1">
      <c r="A7" s="1" t="s">
        <v>73</v>
      </c>
    </row>
    <row r="8" spans="1:1">
      <c r="A8" s="1" t="s">
        <v>74</v>
      </c>
    </row>
    <row r="9" spans="1:1">
      <c r="A9" s="1" t="s">
        <v>75</v>
      </c>
    </row>
    <row r="10" spans="1:1">
      <c r="A10" s="1" t="s">
        <v>72</v>
      </c>
    </row>
    <row r="11" spans="1:1">
      <c r="A11" s="1">
        <v>8</v>
      </c>
    </row>
    <row r="12" spans="1:1">
      <c r="A12" s="1">
        <v>8.5</v>
      </c>
    </row>
    <row r="13" spans="1:1">
      <c r="A13" s="1">
        <v>9</v>
      </c>
    </row>
    <row r="14" spans="1:1">
      <c r="A14" s="1">
        <v>9.5</v>
      </c>
    </row>
    <row r="15" spans="1:1">
      <c r="A15" s="1">
        <v>10</v>
      </c>
    </row>
    <row r="16" spans="1:1">
      <c r="A16" s="1">
        <v>10.5</v>
      </c>
    </row>
    <row r="17" spans="1:1">
      <c r="A17" s="1">
        <v>11</v>
      </c>
    </row>
    <row r="18" spans="1:1">
      <c r="A18" s="1">
        <v>11.5</v>
      </c>
    </row>
    <row r="19" spans="1:1">
      <c r="A19" s="1">
        <v>12</v>
      </c>
    </row>
    <row r="20" spans="1:1">
      <c r="A20" s="1">
        <v>12.5</v>
      </c>
    </row>
    <row r="21" spans="1:1">
      <c r="A21" s="1">
        <v>13</v>
      </c>
    </row>
    <row r="22" spans="1:1">
      <c r="A22" s="1">
        <v>13.5</v>
      </c>
    </row>
    <row r="23" spans="1:1">
      <c r="A23" s="1">
        <v>14</v>
      </c>
    </row>
    <row r="24" spans="1:1">
      <c r="A24" s="1">
        <v>14.5</v>
      </c>
    </row>
    <row r="25" spans="1:1">
      <c r="A25" s="1">
        <v>15</v>
      </c>
    </row>
    <row r="26" spans="1:1">
      <c r="A26" s="1">
        <v>15.5</v>
      </c>
    </row>
    <row r="27" spans="1:1">
      <c r="A27" s="1">
        <v>16</v>
      </c>
    </row>
    <row r="28" spans="1:1">
      <c r="A28" s="1">
        <v>16.5</v>
      </c>
    </row>
    <row r="29" spans="1:1">
      <c r="A29" s="1">
        <v>17</v>
      </c>
    </row>
    <row r="30" spans="1:1">
      <c r="A30" s="1">
        <v>17.5</v>
      </c>
    </row>
    <row r="31" spans="1:1">
      <c r="A31" s="1">
        <v>18</v>
      </c>
    </row>
    <row r="32" spans="1:1">
      <c r="A32" s="1">
        <v>18.5</v>
      </c>
    </row>
    <row r="33" spans="1:1">
      <c r="A33" s="1">
        <v>19</v>
      </c>
    </row>
    <row r="34" spans="1:1">
      <c r="A34" s="1">
        <v>19.5</v>
      </c>
    </row>
    <row r="35" spans="1:1">
      <c r="A35" s="1">
        <v>20</v>
      </c>
    </row>
    <row r="36" spans="1:1">
      <c r="A36" s="1">
        <v>20.5</v>
      </c>
    </row>
    <row r="37" spans="1:1">
      <c r="A37" s="1">
        <v>21</v>
      </c>
    </row>
    <row r="38" spans="1:1">
      <c r="A38" s="1">
        <v>21.5</v>
      </c>
    </row>
    <row r="39" spans="1:1">
      <c r="A39" s="1">
        <v>22</v>
      </c>
    </row>
    <row r="40" spans="1:1">
      <c r="A40" s="1">
        <v>22.5</v>
      </c>
    </row>
    <row r="41" spans="1:1">
      <c r="A41" s="1">
        <v>23</v>
      </c>
    </row>
    <row r="42" spans="1:1">
      <c r="A42" s="1">
        <v>23.5</v>
      </c>
    </row>
    <row r="43" spans="1:1">
      <c r="A43" s="1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FORM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Genifer</cp:lastModifiedBy>
  <dcterms:created xsi:type="dcterms:W3CDTF">2025-09-25T07:44:00Z</dcterms:created>
  <cp:lastPrinted>2025-10-01T07:40:00Z</cp:lastPrinted>
  <dcterms:modified xsi:type="dcterms:W3CDTF">2025-10-03T06:43:26Z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E8F1C6E070644A9183D1A61021700606_13</vt:lpwstr>
  </property>
  <property fmtid="{D5CDD505-2E9C-101B-9397-08002B2CF9AE}" pid="3" name="KSOProductBuildVer">
    <vt:lpwstr>1033-12.2.0.22549</vt:lpwstr>
  </property>
</Properties>
</file>