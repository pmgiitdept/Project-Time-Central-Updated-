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DA51DB-ADD9-4FE4-B3DC-CB4EC0F7EF07}" xr6:coauthVersionLast="47" xr6:coauthVersionMax="47" xr10:uidLastSave="{00000000-0000-0000-0000-000000000000}"/>
  <bookViews>
    <workbookView xWindow="28680" yWindow="-120" windowWidth="20730" windowHeight="11760" activeTab="1" xr2:uid="{05BC1890-48E5-4253-B660-38D036B8E33C}"/>
  </bookViews>
  <sheets>
    <sheet name="BSOP 09-16-30-25" sheetId="1" r:id="rId1"/>
    <sheet name="BSO1 09-16-30-25" sheetId="4" r:id="rId2"/>
    <sheet name="Sheet3" sheetId="3" state="hidden" r:id="rId3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" i="4" l="1"/>
  <c r="AC19" i="4"/>
  <c r="Z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B18" i="4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H26" i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AB19" i="4" l="1"/>
  <c r="AD19" i="4"/>
  <c r="G19" i="4"/>
  <c r="Y15" i="4"/>
  <c r="Y19" i="4" s="1"/>
  <c r="X19" i="4"/>
  <c r="X26" i="1"/>
  <c r="AA23" i="1"/>
  <c r="AA22" i="1"/>
  <c r="AA21" i="1"/>
  <c r="AA16" i="1"/>
  <c r="AA25" i="1"/>
  <c r="AA24" i="1"/>
  <c r="AA17" i="1"/>
  <c r="AA19" i="1"/>
  <c r="AA18" i="1"/>
  <c r="AA20" i="1"/>
  <c r="AA15" i="4" l="1"/>
  <c r="AA19" i="4" s="1"/>
  <c r="I26" i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<sst xmlns="http://schemas.openxmlformats.org/spreadsheetml/2006/main" count="205" uniqueCount="93">
  <si>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</si>
  <si>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</si>
  <si>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</si>
  <si>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</si>
  <si>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</si>
  <si>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</si>
  <si>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</si>
  <si>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</si>
  <si>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</si>
  <si>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</si>
  <si>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</si>
  <si>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</si>
  <si>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</si>
  <si>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</si>
  <si>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</si>
  <si>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</si>
  <si>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</si>
  <si>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</si>
  <si>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</si>
  <si>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</si>
  <si>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</si>
  <si>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</si>
  <si>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</si>
  <si>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</si>
  <si>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</si>
  <si>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</si>
  <si>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</si>
  <si>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</si>
  <si>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</si>
  <si>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</si>
  <si>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</si>
  <si>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</si>
  <si>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</si>
  <si>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</si>
  <si>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</si>
  <si>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</si>
  <si>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</si>
  <si>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</si>
  <si>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</si>
  <si>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</si>
  <si>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</si>
  <si>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</si>
  <si>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</si>
  <si>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</si>
  <si>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</si>
  <si>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</si>
  <si>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</si>
  <si>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</si>
  <si>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</si>
  <si>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</si>
  <si>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</si>
  <si>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</si>
  <si>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</si>
  <si>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</si>
  <si>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</si>
  <si>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</si>
  <si>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</si>
  <si>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</si>
  <si>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</si>
  <si>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</si>
  <si>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</si>
  <si>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</si>
  <si>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</si>
  <si>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</si>
  <si>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</si>
  <si>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</si>
  <si>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</si>
  <si>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</si>
  <si>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</si>
  <si>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</si>
  <si>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</si>
  <si>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</si>
  <si>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</si>
  <si>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</si>
  <si>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</si>
  <si>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</si>
  <si>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</si>
  <si>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</si>
  <si>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</si>
  <si>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</si>
  <si>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</si>
  <si>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</si>
  <si>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</si>
  <si>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</si>
  <si>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</si>
  <si>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</si>
  <si>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</si>
  <si>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</si>
  <si>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</si>
  <si>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>BONIFACIO STOP OVER ONE</t>
  </si>
  <si>
    <t>LIBOON, MARKEY</t>
  </si>
  <si>
    <t>PMO2269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</si>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</sst>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1027333</xdr:colOff>
      <xdr:row>6</xdr:row>
      <xdr:rowOff>104776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31F39E3-F9F3-45CC-B43B-6505CBF9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1007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3C453C-CEE8-4C0F-922C-AD8B66BC4835}"/>
            </a:ext>
          </a:extLst>
        </xdr:cNvPr>
        <xdr:cNvSpPr txBox="1"/>
      </xdr:nvSpPr>
      <xdr:spPr>
        <a:xfrm>
          <a:off x="19354799" y="9906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A4EC74-0931-411C-8049-E6EFD924C3EE}"/>
            </a:ext>
          </a:extLst>
        </xdr:cNvPr>
        <xdr:cNvSpPr txBox="1"/>
      </xdr:nvSpPr>
      <xdr:spPr>
        <a:xfrm>
          <a:off x="18443199" y="9915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view="pageBreakPreview" topLeftCell="A9" zoomScale="70" zoomScaleNormal="70" zoomScaleSheetLayoutView="70" workbookViewId="0">
      <selection activeCell="L14" sqref="L14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2" t="s">
        <v>0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4"/>
    </row>
    <row r="3" spans="2:31" ht="15.75" x14ac:dyDescent="0.25">
      <c r="B3" s="11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7"/>
    </row>
    <row r="4" spans="2:31" ht="15.75" x14ac:dyDescent="0.25">
      <c r="B4" s="11"/>
      <c r="C4" s="78" t="s">
        <v>1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80"/>
    </row>
    <row r="5" spans="2:31" ht="15.75" x14ac:dyDescent="0.25">
      <c r="B5" s="11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7"/>
    </row>
    <row r="6" spans="2:31" ht="16.5" customHeight="1" thickBot="1" x14ac:dyDescent="0.3">
      <c r="B6" s="12"/>
      <c r="C6" s="88" t="s">
        <v>53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90"/>
    </row>
    <row r="7" spans="2:31" ht="23.25" customHeight="1" x14ac:dyDescent="0.25">
      <c r="C7" s="61" t="s">
        <v>55</v>
      </c>
      <c r="G7" s="34"/>
      <c r="H7" s="34"/>
    </row>
    <row r="8" spans="2:31" ht="15" customHeight="1" x14ac:dyDescent="0.25">
      <c r="B8" s="27"/>
      <c r="C8" s="85" t="s">
        <v>56</v>
      </c>
      <c r="D8" s="86"/>
      <c r="E8" s="86"/>
      <c r="F8" s="87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2">
        <v>45946</v>
      </c>
      <c r="E9" s="92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1">
        <v>45961</v>
      </c>
      <c r="E10" s="91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3" t="s">
        <v>4</v>
      </c>
      <c r="C12" s="93" t="s">
        <v>5</v>
      </c>
      <c r="D12" s="93" t="s">
        <v>45</v>
      </c>
      <c r="E12" s="93" t="s">
        <v>44</v>
      </c>
      <c r="F12" s="93" t="s">
        <v>38</v>
      </c>
      <c r="G12" s="96" t="s">
        <v>39</v>
      </c>
      <c r="H12" s="63" t="s">
        <v>60</v>
      </c>
      <c r="I12" s="64" t="s">
        <v>61</v>
      </c>
      <c r="J12" s="64" t="s">
        <v>62</v>
      </c>
      <c r="K12" s="69" t="s">
        <v>63</v>
      </c>
      <c r="L12" s="64" t="s">
        <v>64</v>
      </c>
      <c r="M12" s="66" t="s">
        <v>65</v>
      </c>
      <c r="N12" s="64" t="s">
        <v>66</v>
      </c>
      <c r="O12" s="64" t="s">
        <v>60</v>
      </c>
      <c r="P12" s="64" t="s">
        <v>61</v>
      </c>
      <c r="Q12" s="64" t="s">
        <v>62</v>
      </c>
      <c r="R12" s="65" t="s">
        <v>63</v>
      </c>
      <c r="S12" s="64" t="s">
        <v>64</v>
      </c>
      <c r="T12" s="66" t="s">
        <v>65</v>
      </c>
      <c r="U12" s="64" t="s">
        <v>66</v>
      </c>
      <c r="V12" s="64" t="s">
        <v>60</v>
      </c>
      <c r="W12" s="65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3" t="s">
        <v>37</v>
      </c>
    </row>
    <row r="13" spans="2:31" ht="13.5" customHeight="1" x14ac:dyDescent="0.25">
      <c r="B13" s="94"/>
      <c r="C13" s="94"/>
      <c r="D13" s="94"/>
      <c r="E13" s="94"/>
      <c r="F13" s="94"/>
      <c r="G13" s="97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99" t="s">
        <v>15</v>
      </c>
      <c r="Y13" s="93" t="s">
        <v>7</v>
      </c>
      <c r="Z13" s="93" t="s">
        <v>9</v>
      </c>
      <c r="AA13" s="93" t="s">
        <v>14</v>
      </c>
      <c r="AB13" s="93" t="s">
        <v>13</v>
      </c>
      <c r="AC13" s="93" t="s">
        <v>35</v>
      </c>
      <c r="AD13" s="93" t="s">
        <v>13</v>
      </c>
      <c r="AE13" s="94"/>
    </row>
    <row r="14" spans="2:31" ht="16.5" customHeight="1" x14ac:dyDescent="0.25">
      <c r="B14" s="95"/>
      <c r="C14" s="95"/>
      <c r="D14" s="95"/>
      <c r="E14" s="95"/>
      <c r="F14" s="95"/>
      <c r="G14" s="98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100"/>
      <c r="Y14" s="95"/>
      <c r="Z14" s="95"/>
      <c r="AA14" s="95"/>
      <c r="AB14" s="95"/>
      <c r="AC14" s="95"/>
      <c r="AD14" s="95"/>
      <c r="AE14" s="95"/>
    </row>
    <row r="15" spans="2:31" ht="24.95" customHeight="1" x14ac:dyDescent="0.25">
      <c r="B15" s="16">
        <f>ROW()-14</f>
        <v>1</v>
      </c>
      <c r="C15" s="18" t="s">
        <v>57</v>
      </c>
      <c r="D15" s="18" t="s">
        <v>58</v>
      </c>
      <c r="E15" s="18" t="s">
        <v>29</v>
      </c>
      <c r="F15" s="18" t="s">
        <v>51</v>
      </c>
      <c r="G15" s="17" t="s">
        <v>59</v>
      </c>
      <c r="H15" s="70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71">
        <v>10</v>
      </c>
      <c r="T15" s="19" t="s">
        <v>40</v>
      </c>
      <c r="U15" s="19">
        <v>12</v>
      </c>
      <c r="V15" s="19">
        <v>12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 x14ac:dyDescent="0.25">
      <c r="B16" s="16">
        <f t="shared" ref="B16:B25" si="0">ROW()-14</f>
        <v>2</v>
      </c>
      <c r="C16" s="18" t="s">
        <v>67</v>
      </c>
      <c r="D16" s="18" t="s">
        <v>78</v>
      </c>
      <c r="E16" s="18" t="s">
        <v>50</v>
      </c>
      <c r="F16" s="18" t="s">
        <v>51</v>
      </c>
      <c r="G16" s="17" t="s">
        <v>68</v>
      </c>
      <c r="H16" s="56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7"/>
      <c r="X16" s="50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 x14ac:dyDescent="0.25">
      <c r="B17" s="16">
        <f t="shared" si="0"/>
        <v>3</v>
      </c>
      <c r="C17" s="18" t="s">
        <v>72</v>
      </c>
      <c r="D17" s="18" t="s">
        <v>77</v>
      </c>
      <c r="E17" s="18" t="s">
        <v>69</v>
      </c>
      <c r="F17" s="18" t="s">
        <v>51</v>
      </c>
      <c r="G17" s="17" t="s">
        <v>68</v>
      </c>
      <c r="H17" s="56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7"/>
      <c r="X17" s="50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 x14ac:dyDescent="0.25">
      <c r="B18" s="16">
        <f t="shared" si="0"/>
        <v>4</v>
      </c>
      <c r="C18" s="18" t="s">
        <v>70</v>
      </c>
      <c r="D18" s="18" t="s">
        <v>76</v>
      </c>
      <c r="E18" s="18" t="s">
        <v>52</v>
      </c>
      <c r="F18" s="18" t="s">
        <v>51</v>
      </c>
      <c r="G18" s="17" t="s">
        <v>68</v>
      </c>
      <c r="H18" s="56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7"/>
      <c r="X18" s="50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 x14ac:dyDescent="0.25">
      <c r="B19" s="16">
        <f t="shared" si="0"/>
        <v>5</v>
      </c>
      <c r="C19" s="18" t="s">
        <v>71</v>
      </c>
      <c r="D19" s="18" t="s">
        <v>75</v>
      </c>
      <c r="E19" s="18" t="s">
        <v>52</v>
      </c>
      <c r="F19" s="18" t="s">
        <v>51</v>
      </c>
      <c r="G19" s="17" t="s">
        <v>83</v>
      </c>
      <c r="H19" s="56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7"/>
      <c r="X19" s="50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 x14ac:dyDescent="0.25">
      <c r="B20" s="16">
        <f t="shared" si="0"/>
        <v>6</v>
      </c>
      <c r="C20" s="18" t="s">
        <v>73</v>
      </c>
      <c r="D20" s="18" t="s">
        <v>74</v>
      </c>
      <c r="E20" s="18" t="s">
        <v>52</v>
      </c>
      <c r="F20" s="18" t="s">
        <v>79</v>
      </c>
      <c r="G20" s="17" t="s">
        <v>84</v>
      </c>
      <c r="H20" s="56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7"/>
      <c r="X20" s="50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 x14ac:dyDescent="0.25">
      <c r="B21" s="16">
        <f t="shared" si="0"/>
        <v>7</v>
      </c>
      <c r="C21" s="18" t="s">
        <v>80</v>
      </c>
      <c r="D21" s="18" t="s">
        <v>81</v>
      </c>
      <c r="E21" s="18" t="s">
        <v>52</v>
      </c>
      <c r="F21" s="18" t="s">
        <v>82</v>
      </c>
      <c r="G21" s="17" t="s">
        <v>85</v>
      </c>
      <c r="H21" s="56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7"/>
      <c r="X21" s="50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 x14ac:dyDescent="0.25">
      <c r="B22" s="16">
        <f t="shared" si="0"/>
        <v>8</v>
      </c>
      <c r="C22" s="18" t="s">
        <v>86</v>
      </c>
      <c r="D22" s="18" t="s">
        <v>87</v>
      </c>
      <c r="E22" s="18" t="s">
        <v>52</v>
      </c>
      <c r="F22" s="68" t="s">
        <v>88</v>
      </c>
      <c r="G22" s="17"/>
      <c r="H22" s="56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7"/>
      <c r="X22" s="50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 x14ac:dyDescent="0.25">
      <c r="B23" s="16">
        <f t="shared" si="0"/>
        <v>9</v>
      </c>
      <c r="C23" s="18"/>
      <c r="D23" s="18"/>
      <c r="E23" s="18"/>
      <c r="F23" s="18"/>
      <c r="G23" s="17"/>
      <c r="H23" s="56"/>
      <c r="I23" s="19"/>
      <c r="J23" s="19"/>
      <c r="K23" s="19"/>
      <c r="L23" s="6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7"/>
      <c r="X23" s="50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 x14ac:dyDescent="0.25">
      <c r="B24" s="16">
        <f t="shared" si="0"/>
        <v>10</v>
      </c>
      <c r="C24" s="18"/>
      <c r="D24" s="18"/>
      <c r="E24" s="18"/>
      <c r="F24" s="18"/>
      <c r="G24" s="17"/>
      <c r="H24" s="56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7"/>
      <c r="X24" s="50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 x14ac:dyDescent="0.25">
      <c r="B25" s="16">
        <f t="shared" si="0"/>
        <v>11</v>
      </c>
      <c r="C25" s="18"/>
      <c r="D25" s="18"/>
      <c r="E25" s="18"/>
      <c r="F25" s="18"/>
      <c r="G25" s="17"/>
      <c r="H25" s="56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7"/>
      <c r="X25" s="50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 x14ac:dyDescent="0.3">
      <c r="B26" s="19"/>
      <c r="C26" s="18"/>
      <c r="D26" s="18"/>
      <c r="E26" s="85" t="s">
        <v>54</v>
      </c>
      <c r="F26" s="86"/>
      <c r="G26" s="29">
        <f>SUM(H26:W26)</f>
        <v>100</v>
      </c>
      <c r="H26" s="58">
        <f t="shared" ref="H26:W26" si="5">COUNTA(H15:H25)-COUNTIF(H15:H25,"A")-COUNTIF(H15:H25,"D")-COUNTIF(H15:H25,"L")</f>
        <v>7</v>
      </c>
      <c r="I26" s="59">
        <f t="shared" si="5"/>
        <v>7</v>
      </c>
      <c r="J26" s="59">
        <f t="shared" si="5"/>
        <v>7</v>
      </c>
      <c r="K26" s="59">
        <f t="shared" si="5"/>
        <v>6</v>
      </c>
      <c r="L26" s="59">
        <f t="shared" si="5"/>
        <v>6</v>
      </c>
      <c r="M26" s="59">
        <f t="shared" si="5"/>
        <v>6</v>
      </c>
      <c r="N26" s="59">
        <f t="shared" si="5"/>
        <v>7</v>
      </c>
      <c r="O26" s="59">
        <f t="shared" si="5"/>
        <v>7</v>
      </c>
      <c r="P26" s="59">
        <f t="shared" si="5"/>
        <v>7</v>
      </c>
      <c r="Q26" s="59">
        <f t="shared" si="5"/>
        <v>7</v>
      </c>
      <c r="R26" s="59">
        <f t="shared" si="5"/>
        <v>7</v>
      </c>
      <c r="S26" s="59">
        <f t="shared" si="5"/>
        <v>6</v>
      </c>
      <c r="T26" s="59">
        <f t="shared" si="5"/>
        <v>6</v>
      </c>
      <c r="U26" s="59">
        <f t="shared" si="5"/>
        <v>7</v>
      </c>
      <c r="V26" s="59">
        <f t="shared" si="5"/>
        <v>7</v>
      </c>
      <c r="W26" s="60">
        <f t="shared" si="5"/>
        <v>0</v>
      </c>
      <c r="X26" s="46">
        <f t="shared" ref="X26:AE26" si="6">SUM(X15:X25)</f>
        <v>100</v>
      </c>
      <c r="Y26" s="47">
        <f t="shared" si="6"/>
        <v>800</v>
      </c>
      <c r="Z26" s="47">
        <f t="shared" si="6"/>
        <v>0</v>
      </c>
      <c r="AA26" s="47">
        <f t="shared" si="6"/>
        <v>388</v>
      </c>
      <c r="AB26" s="47">
        <f t="shared" si="6"/>
        <v>0</v>
      </c>
      <c r="AC26" s="47">
        <f t="shared" si="6"/>
        <v>0</v>
      </c>
      <c r="AD26" s="47">
        <f t="shared" si="6"/>
        <v>0</v>
      </c>
      <c r="AE26" s="47">
        <f t="shared" si="6"/>
        <v>91</v>
      </c>
    </row>
    <row r="28" spans="2:31" ht="15.75" x14ac:dyDescent="0.25">
      <c r="B28" s="20" t="s">
        <v>28</v>
      </c>
      <c r="H28" s="81" t="s">
        <v>33</v>
      </c>
      <c r="I28" s="81"/>
      <c r="J28" s="81"/>
      <c r="K28" s="81"/>
      <c r="R28" s="81" t="s">
        <v>34</v>
      </c>
      <c r="S28" s="81"/>
      <c r="T28" s="81"/>
      <c r="U28" s="81"/>
      <c r="Z28" s="4"/>
      <c r="AA28" s="1" t="s">
        <v>16</v>
      </c>
      <c r="AB28" s="41"/>
      <c r="AC28" s="2"/>
      <c r="AD28" s="38"/>
      <c r="AE28" s="4"/>
    </row>
    <row r="29" spans="2:31" ht="15.75" x14ac:dyDescent="0.25">
      <c r="U29" s="3"/>
      <c r="Z29" s="38"/>
      <c r="AA29" s="24" t="s">
        <v>17</v>
      </c>
      <c r="AB29" s="42"/>
      <c r="AC29" s="6"/>
      <c r="AD29" s="38"/>
      <c r="AE29" s="3"/>
    </row>
    <row r="30" spans="2:31" ht="15.75" x14ac:dyDescent="0.25">
      <c r="U30" s="3"/>
      <c r="Z30" s="38"/>
      <c r="AA30" s="24" t="s">
        <v>18</v>
      </c>
      <c r="AB30" s="42"/>
      <c r="AC30" s="6"/>
      <c r="AD30" s="38"/>
      <c r="AE30" s="3"/>
    </row>
    <row r="31" spans="2:31" ht="15.75" x14ac:dyDescent="0.25">
      <c r="B31" s="82"/>
      <c r="C31" s="82"/>
      <c r="D31" s="82"/>
      <c r="E31" s="25"/>
      <c r="F31" s="25"/>
      <c r="G31" s="25"/>
      <c r="H31" s="82"/>
      <c r="I31" s="82"/>
      <c r="J31" s="82"/>
      <c r="K31" s="82"/>
      <c r="L31" s="82"/>
      <c r="M31" s="82"/>
      <c r="N31" s="82"/>
      <c r="O31" s="26"/>
      <c r="P31" s="26"/>
      <c r="Q31" s="26"/>
      <c r="R31" s="82"/>
      <c r="S31" s="82"/>
      <c r="T31" s="82"/>
      <c r="U31" s="82"/>
      <c r="V31" s="82"/>
      <c r="W31" s="82"/>
      <c r="X31" s="82"/>
      <c r="Z31" s="38"/>
      <c r="AA31" s="24" t="s">
        <v>19</v>
      </c>
      <c r="AB31" s="42"/>
      <c r="AC31" s="6"/>
      <c r="AD31" s="38"/>
      <c r="AE31" s="3"/>
    </row>
    <row r="32" spans="2:31" ht="15.75" customHeight="1" x14ac:dyDescent="0.25">
      <c r="B32" s="84" t="s">
        <v>29</v>
      </c>
      <c r="C32" s="84"/>
      <c r="D32" s="84"/>
      <c r="H32" s="83" t="s">
        <v>30</v>
      </c>
      <c r="I32" s="83"/>
      <c r="J32" s="83"/>
      <c r="K32" s="83"/>
      <c r="L32" s="83"/>
      <c r="M32" s="83"/>
      <c r="N32" s="83"/>
      <c r="O32" s="13"/>
      <c r="P32" s="13"/>
      <c r="Q32" s="13"/>
      <c r="R32" s="83" t="s">
        <v>31</v>
      </c>
      <c r="S32" s="83"/>
      <c r="T32" s="83"/>
      <c r="U32" s="83"/>
      <c r="V32" s="83"/>
      <c r="W32" s="83"/>
      <c r="X32" s="83"/>
      <c r="Z32" s="38"/>
      <c r="AA32" s="24" t="s">
        <v>20</v>
      </c>
      <c r="AB32" s="7"/>
      <c r="AC32" s="38"/>
      <c r="AD32" s="38"/>
      <c r="AE32" s="3"/>
    </row>
    <row r="33" spans="2:31" ht="15.75" x14ac:dyDescent="0.25">
      <c r="U33" s="3"/>
      <c r="Z33" s="38"/>
      <c r="AA33" s="24" t="s">
        <v>21</v>
      </c>
      <c r="AB33" s="42"/>
      <c r="AC33" s="6"/>
      <c r="AD33" s="38"/>
      <c r="AE33" s="3"/>
    </row>
    <row r="34" spans="2:31" ht="15.75" x14ac:dyDescent="0.25">
      <c r="U34" s="3"/>
      <c r="Z34" s="38"/>
      <c r="AA34" s="24" t="s">
        <v>22</v>
      </c>
      <c r="AB34" s="42"/>
      <c r="AC34" s="6"/>
      <c r="AD34" s="38"/>
      <c r="AE34" s="3"/>
    </row>
    <row r="35" spans="2:31" ht="15.75" x14ac:dyDescent="0.2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8"/>
      <c r="AA35" s="24" t="s">
        <v>23</v>
      </c>
      <c r="AB35" s="7"/>
      <c r="AC35" s="38"/>
      <c r="AD35" s="38"/>
      <c r="AE35" s="3"/>
    </row>
    <row r="36" spans="2:31" ht="15.75" x14ac:dyDescent="0.2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8"/>
      <c r="AA36" s="24" t="s">
        <v>24</v>
      </c>
      <c r="AB36" s="7"/>
      <c r="AC36" s="38"/>
      <c r="AD36" s="38"/>
      <c r="AE36" s="3"/>
    </row>
    <row r="37" spans="2:31" ht="15.75" x14ac:dyDescent="0.2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8"/>
      <c r="AA37" s="24" t="s">
        <v>25</v>
      </c>
      <c r="AB37" s="7"/>
      <c r="AC37" s="38"/>
      <c r="AD37" s="38"/>
      <c r="AE37" s="3"/>
    </row>
    <row r="38" spans="2:31" ht="15.75" x14ac:dyDescent="0.2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8"/>
      <c r="AA38" s="40" t="s">
        <v>26</v>
      </c>
      <c r="AB38" s="43"/>
      <c r="AC38" s="39"/>
      <c r="AD38" s="38"/>
      <c r="AE38" s="3"/>
    </row>
    <row r="39" spans="2:31" ht="15.75" x14ac:dyDescent="0.25">
      <c r="U39" s="3"/>
      <c r="Z39" s="39"/>
      <c r="AA39" s="40" t="s">
        <v>27</v>
      </c>
      <c r="AB39" s="43"/>
      <c r="AC39" s="39"/>
      <c r="AD39" s="39"/>
      <c r="AE39" s="9"/>
    </row>
    <row r="40" spans="2:31" ht="15.75" x14ac:dyDescent="0.25">
      <c r="B40" s="20"/>
      <c r="C40" s="20"/>
      <c r="D40" s="20"/>
      <c r="E40" s="20"/>
      <c r="F40" s="20"/>
      <c r="G40" s="20"/>
      <c r="H40" s="20"/>
      <c r="I40" s="20"/>
      <c r="U40" s="8"/>
      <c r="Z40" s="39"/>
      <c r="AD40" s="39"/>
      <c r="AE40" s="9"/>
    </row>
    <row r="41" spans="2:31" ht="15.75" x14ac:dyDescent="0.25">
      <c r="U41" s="8"/>
      <c r="Z41" s="39"/>
      <c r="AD41" s="39"/>
      <c r="AE41" s="9"/>
    </row>
    <row r="52" spans="25:25" x14ac:dyDescent="0.25">
      <c r="Y52" s="37" t="s">
        <v>92</v>
      </c>
    </row>
  </sheetData>
  <sheetProtection insertRows="0"/>
  <mergeCells count="29">
    <mergeCell ref="B12:B14"/>
    <mergeCell ref="E26:F26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</mergeCells>
  <conditionalFormatting sqref="C15:AE25">
    <cfRule type="containsBlanks" dxfId="53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52" priority="31">
      <formula>TEXT($D$9+COLUMN()-COLUMN($H$12),"ddd")="Sun"</formula>
    </cfRule>
  </conditionalFormatting>
  <conditionalFormatting sqref="H14:W14">
    <cfRule type="containsBlanks" dxfId="51" priority="4">
      <formula>LEN(TRIM(H14))=0</formula>
    </cfRule>
    <cfRule type="expression" dxfId="50" priority="5">
      <formula>EXACT(H14, "S")</formula>
    </cfRule>
    <cfRule type="expression" dxfId="49" priority="6">
      <formula>EXACT(H14, "R")</formula>
    </cfRule>
    <cfRule type="expression" dxfId="48" priority="7">
      <formula>EXACT(H14, "T")</formula>
    </cfRule>
    <cfRule type="containsText" dxfId="47" priority="8" operator="containsText" text="SH">
      <formula>NOT(ISERROR(SEARCH("SH",H14)))</formula>
    </cfRule>
    <cfRule type="expression" dxfId="46" priority="9">
      <formula>EXACT(H14, "RS")</formula>
    </cfRule>
    <cfRule type="containsText" dxfId="45" priority="10" operator="containsText" text="LH">
      <formula>NOT(ISERROR(SEARCH("LH",H14)))</formula>
    </cfRule>
    <cfRule type="expression" dxfId="44" priority="11">
      <formula>EXACT(H14, "LR")</formula>
    </cfRule>
    <cfRule type="expression" dxfId="43" priority="12">
      <formula>EXACT(H14, "L")</formula>
    </cfRule>
    <cfRule type="expression" dxfId="42" priority="13">
      <formula>EXACT(H14, "D")</formula>
    </cfRule>
    <cfRule type="expression" dxfId="41" priority="14">
      <formula>EXACT(H14, "A")</formula>
    </cfRule>
  </conditionalFormatting>
  <conditionalFormatting sqref="H15:W15">
    <cfRule type="containsBlanks" dxfId="40" priority="15">
      <formula>LEN(TRIM(H15))=0</formula>
    </cfRule>
  </conditionalFormatting>
  <conditionalFormatting sqref="H15:W25">
    <cfRule type="containsText" dxfId="39" priority="1" operator="containsText" text="12">
      <formula>NOT(ISERROR(SEARCH("12",H15)))</formula>
    </cfRule>
    <cfRule type="expression" dxfId="38" priority="2">
      <formula>H$14="LH"</formula>
    </cfRule>
    <cfRule type="expression" dxfId="37" priority="3" stopIfTrue="1">
      <formula>H$14="SH"</formula>
    </cfRule>
    <cfRule type="expression" dxfId="36" priority="18">
      <formula>EXACT(H15, "S")</formula>
    </cfRule>
    <cfRule type="expression" dxfId="35" priority="19">
      <formula>EXACT(H15, "R")</formula>
    </cfRule>
    <cfRule type="expression" dxfId="34" priority="20">
      <formula>EXACT(H15, "T")</formula>
    </cfRule>
    <cfRule type="containsText" dxfId="33" priority="22" operator="containsText" text="SH">
      <formula>NOT(ISERROR(SEARCH("SH",H15)))</formula>
    </cfRule>
    <cfRule type="expression" dxfId="32" priority="23">
      <formula>EXACT(H15, "RS")</formula>
    </cfRule>
    <cfRule type="containsText" dxfId="31" priority="25" operator="containsText" text="RH">
      <formula>NOT(ISERROR(SEARCH("RH",H15)))</formula>
    </cfRule>
    <cfRule type="expression" dxfId="30" priority="26">
      <formula>EXACT(H15, "LR")</formula>
    </cfRule>
    <cfRule type="expression" dxfId="29" priority="27">
      <formula>EXACT(H15, "L")</formula>
    </cfRule>
    <cfRule type="expression" dxfId="28" priority="28">
      <formula>EXACT(H15, "D")</formula>
    </cfRule>
    <cfRule type="expression" dxfId="27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7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Sheet3!$A$2:$A$54</xm:f>
          </x14:formula1>
          <xm:sqref>H21:W25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FAFF-011E-44C0-8B0E-A7692ECD3009}">
  <dimension ref="B1:AE34"/>
  <sheetViews>
    <sheetView tabSelected="1" zoomScale="70" zoomScaleNormal="70" workbookViewId="0">
      <selection activeCell="H10" sqref="H10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1.710937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2" t="s">
        <v>0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4"/>
    </row>
    <row r="3" spans="2:31" ht="15.75" x14ac:dyDescent="0.25">
      <c r="B3" s="11"/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7"/>
    </row>
    <row r="4" spans="2:31" ht="15.75" x14ac:dyDescent="0.25">
      <c r="B4" s="11"/>
      <c r="C4" s="78" t="s">
        <v>1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80"/>
    </row>
    <row r="5" spans="2:31" ht="15.75" x14ac:dyDescent="0.25">
      <c r="B5" s="11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7"/>
    </row>
    <row r="6" spans="2:31" ht="16.5" customHeight="1" thickBot="1" x14ac:dyDescent="0.3">
      <c r="B6" s="12"/>
      <c r="C6" s="88" t="s">
        <v>53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90"/>
    </row>
    <row r="7" spans="2:31" ht="23.25" customHeight="1" x14ac:dyDescent="0.25">
      <c r="C7" s="61" t="s">
        <v>55</v>
      </c>
      <c r="G7" s="34"/>
      <c r="H7" s="34"/>
    </row>
    <row r="8" spans="2:31" ht="15" customHeight="1" x14ac:dyDescent="0.25">
      <c r="B8" s="27"/>
      <c r="C8" s="85" t="s">
        <v>89</v>
      </c>
      <c r="D8" s="86"/>
      <c r="E8" s="86"/>
      <c r="F8" s="87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2">
        <v>45916</v>
      </c>
      <c r="E9" s="92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1">
        <v>45930</v>
      </c>
      <c r="E10" s="91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3" t="s">
        <v>4</v>
      </c>
      <c r="C12" s="93" t="s">
        <v>5</v>
      </c>
      <c r="D12" s="93" t="s">
        <v>45</v>
      </c>
      <c r="E12" s="93" t="s">
        <v>44</v>
      </c>
      <c r="F12" s="93" t="s">
        <v>38</v>
      </c>
      <c r="G12" s="96" t="s">
        <v>39</v>
      </c>
      <c r="H12" s="63" t="s">
        <v>60</v>
      </c>
      <c r="I12" s="64" t="s">
        <v>61</v>
      </c>
      <c r="J12" s="64" t="s">
        <v>62</v>
      </c>
      <c r="K12" s="67" t="s">
        <v>63</v>
      </c>
      <c r="L12" s="64" t="s">
        <v>64</v>
      </c>
      <c r="M12" s="66" t="s">
        <v>65</v>
      </c>
      <c r="N12" s="64" t="s">
        <v>66</v>
      </c>
      <c r="O12" s="64" t="s">
        <v>60</v>
      </c>
      <c r="P12" s="64" t="s">
        <v>61</v>
      </c>
      <c r="Q12" s="64" t="s">
        <v>62</v>
      </c>
      <c r="R12" s="65" t="s">
        <v>63</v>
      </c>
      <c r="S12" s="64" t="s">
        <v>64</v>
      </c>
      <c r="T12" s="66" t="s">
        <v>65</v>
      </c>
      <c r="U12" s="64" t="s">
        <v>66</v>
      </c>
      <c r="V12" s="64" t="s">
        <v>60</v>
      </c>
      <c r="W12" s="65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93" t="s">
        <v>37</v>
      </c>
    </row>
    <row r="13" spans="2:31" ht="13.5" customHeight="1" x14ac:dyDescent="0.25">
      <c r="B13" s="94"/>
      <c r="C13" s="94"/>
      <c r="D13" s="94"/>
      <c r="E13" s="94"/>
      <c r="F13" s="94"/>
      <c r="G13" s="97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99" t="s">
        <v>15</v>
      </c>
      <c r="Y13" s="93" t="s">
        <v>7</v>
      </c>
      <c r="Z13" s="93" t="s">
        <v>9</v>
      </c>
      <c r="AA13" s="93" t="s">
        <v>14</v>
      </c>
      <c r="AB13" s="93" t="s">
        <v>13</v>
      </c>
      <c r="AC13" s="93" t="s">
        <v>35</v>
      </c>
      <c r="AD13" s="93" t="s">
        <v>13</v>
      </c>
      <c r="AE13" s="94"/>
    </row>
    <row r="14" spans="2:31" ht="16.5" customHeight="1" x14ac:dyDescent="0.25">
      <c r="B14" s="95"/>
      <c r="C14" s="95"/>
      <c r="D14" s="95"/>
      <c r="E14" s="95"/>
      <c r="F14" s="95"/>
      <c r="G14" s="98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100"/>
      <c r="Y14" s="95"/>
      <c r="Z14" s="95"/>
      <c r="AA14" s="95"/>
      <c r="AB14" s="95"/>
      <c r="AC14" s="95"/>
      <c r="AD14" s="95"/>
      <c r="AE14" s="95"/>
    </row>
    <row r="15" spans="2:31" ht="24.95" customHeight="1" x14ac:dyDescent="0.25">
      <c r="B15" s="16">
        <f>ROW()-14</f>
        <v>1</v>
      </c>
      <c r="C15" s="18" t="s">
        <v>90</v>
      </c>
      <c r="D15" s="18" t="s">
        <v>91</v>
      </c>
      <c r="E15" s="18" t="s">
        <v>52</v>
      </c>
      <c r="F15" s="18" t="s">
        <v>51</v>
      </c>
      <c r="G15" s="17" t="s">
        <v>68</v>
      </c>
      <c r="H15" s="56" t="s">
        <v>40</v>
      </c>
      <c r="I15" s="19">
        <v>12</v>
      </c>
      <c r="J15" s="19">
        <v>12</v>
      </c>
      <c r="K15" s="19">
        <v>12</v>
      </c>
      <c r="L15" s="19">
        <v>12</v>
      </c>
      <c r="M15" s="19">
        <v>12</v>
      </c>
      <c r="N15" s="19">
        <v>12</v>
      </c>
      <c r="O15" s="19" t="s">
        <v>40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>
        <v>12</v>
      </c>
      <c r="V15" s="19" t="s">
        <v>40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f>SUM(H15:W15)-AB15-AD15-Y15</f>
        <v>48</v>
      </c>
      <c r="AB15" s="19">
        <f>SUMIF($H$14:$W$14,"LH",$H15:$W15)</f>
        <v>0</v>
      </c>
      <c r="AC15" s="19"/>
      <c r="AD15" s="19">
        <f>SUMIF($H$14:$W$14,"SH",$H15:$W15)</f>
        <v>0</v>
      </c>
      <c r="AE15" s="51"/>
    </row>
    <row r="16" spans="2:31" ht="24.95" customHeight="1" x14ac:dyDescent="0.25">
      <c r="B16" s="16">
        <f t="shared" ref="B16:B18" si="0">ROW()-14</f>
        <v>2</v>
      </c>
      <c r="C16" s="18" t="s">
        <v>86</v>
      </c>
      <c r="D16" s="18" t="s">
        <v>87</v>
      </c>
      <c r="E16" s="18" t="s">
        <v>52</v>
      </c>
      <c r="F16" s="18" t="s">
        <v>51</v>
      </c>
      <c r="G16" s="17" t="s">
        <v>68</v>
      </c>
      <c r="H16" s="56">
        <v>12</v>
      </c>
      <c r="I16" s="19"/>
      <c r="J16" s="19"/>
      <c r="K16" s="19"/>
      <c r="L16" s="19"/>
      <c r="M16" s="19"/>
      <c r="N16" s="19"/>
      <c r="O16" s="19">
        <v>12</v>
      </c>
      <c r="P16" s="19"/>
      <c r="Q16" s="19"/>
      <c r="R16" s="19"/>
      <c r="S16" s="19"/>
      <c r="T16" s="19"/>
      <c r="U16" s="19"/>
      <c r="V16" s="19">
        <v>12</v>
      </c>
      <c r="W16" s="57"/>
      <c r="X16" s="50" cm="1">
        <f t="array" ref="X16">SUMPRODUCT(--ISNUMBER(H16:W16), --($H$14:$W$14&lt;&gt;"LH"), --($H$14:$W$14&lt;&gt;"SH"))</f>
        <v>3</v>
      </c>
      <c r="Y16" s="19">
        <f t="shared" ref="Y16" si="1">X16*8</f>
        <v>24</v>
      </c>
      <c r="Z16" s="19">
        <v>44</v>
      </c>
      <c r="AA16" s="19">
        <f t="shared" ref="AA16" si="2">SUM(H16:W16)-AB16-AD16-Y16</f>
        <v>12</v>
      </c>
      <c r="AB16" s="19">
        <f t="shared" ref="AB16" si="3">SUMIF($H$14:$W$14,"LH",$H16:$W16)</f>
        <v>0</v>
      </c>
      <c r="AC16" s="19"/>
      <c r="AD16" s="19">
        <f t="shared" ref="AD16" si="4">SUMIF($H$14:$W$14,"SH",$H16:$W16)</f>
        <v>0</v>
      </c>
      <c r="AE16" s="51"/>
    </row>
    <row r="17" spans="2:31" ht="24.95" customHeight="1" x14ac:dyDescent="0.25">
      <c r="B17" s="16">
        <f t="shared" si="0"/>
        <v>3</v>
      </c>
      <c r="C17" s="18"/>
      <c r="D17" s="18"/>
      <c r="E17" s="18"/>
      <c r="F17" s="18"/>
      <c r="G17" s="17"/>
      <c r="H17" s="5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7"/>
      <c r="X17" s="50"/>
      <c r="Y17" s="19"/>
      <c r="Z17" s="19"/>
      <c r="AA17" s="19"/>
      <c r="AB17" s="19"/>
      <c r="AC17" s="19"/>
      <c r="AD17" s="19"/>
      <c r="AE17" s="51"/>
    </row>
    <row r="18" spans="2:31" ht="24.95" customHeight="1" x14ac:dyDescent="0.25">
      <c r="B18" s="16">
        <f t="shared" si="0"/>
        <v>4</v>
      </c>
      <c r="C18" s="18"/>
      <c r="D18" s="18"/>
      <c r="E18" s="18"/>
      <c r="F18" s="18"/>
      <c r="G18" s="17"/>
      <c r="H18" s="56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7"/>
      <c r="X18" s="50"/>
      <c r="Y18" s="19"/>
      <c r="Z18" s="19"/>
      <c r="AA18" s="19"/>
      <c r="AB18" s="19"/>
      <c r="AC18" s="19"/>
      <c r="AD18" s="19"/>
      <c r="AE18" s="51"/>
    </row>
    <row r="19" spans="2:31" ht="22.5" customHeight="1" thickBot="1" x14ac:dyDescent="0.3">
      <c r="B19" s="19"/>
      <c r="C19" s="18"/>
      <c r="D19" s="18"/>
      <c r="E19" s="85" t="s">
        <v>54</v>
      </c>
      <c r="F19" s="86"/>
      <c r="G19" s="29">
        <f>SUM(H19:W19)</f>
        <v>15</v>
      </c>
      <c r="H19" s="58">
        <f t="shared" ref="H19:W19" si="5">COUNTA(H15:H18)-COUNTIF(H15:H18,"A")-COUNTIF(H15:H18,"D")-COUNTIF(H15:H18,"L")</f>
        <v>1</v>
      </c>
      <c r="I19" s="59">
        <f t="shared" si="5"/>
        <v>1</v>
      </c>
      <c r="J19" s="59">
        <f t="shared" si="5"/>
        <v>1</v>
      </c>
      <c r="K19" s="59">
        <f t="shared" si="5"/>
        <v>1</v>
      </c>
      <c r="L19" s="59">
        <f t="shared" si="5"/>
        <v>1</v>
      </c>
      <c r="M19" s="59">
        <f t="shared" si="5"/>
        <v>1</v>
      </c>
      <c r="N19" s="59">
        <f t="shared" si="5"/>
        <v>1</v>
      </c>
      <c r="O19" s="59">
        <f t="shared" si="5"/>
        <v>1</v>
      </c>
      <c r="P19" s="59">
        <f t="shared" si="5"/>
        <v>1</v>
      </c>
      <c r="Q19" s="59">
        <f t="shared" si="5"/>
        <v>1</v>
      </c>
      <c r="R19" s="59">
        <f t="shared" si="5"/>
        <v>1</v>
      </c>
      <c r="S19" s="59">
        <f t="shared" si="5"/>
        <v>1</v>
      </c>
      <c r="T19" s="59">
        <f t="shared" si="5"/>
        <v>1</v>
      </c>
      <c r="U19" s="59">
        <f t="shared" si="5"/>
        <v>1</v>
      </c>
      <c r="V19" s="59">
        <f t="shared" si="5"/>
        <v>1</v>
      </c>
      <c r="W19" s="60">
        <f t="shared" si="5"/>
        <v>0</v>
      </c>
      <c r="X19" s="46">
        <f t="shared" ref="X19:AE19" si="6">SUM(X15:X18)</f>
        <v>15</v>
      </c>
      <c r="Y19" s="47">
        <f t="shared" si="6"/>
        <v>120</v>
      </c>
      <c r="Z19" s="47">
        <f t="shared" si="6"/>
        <v>44</v>
      </c>
      <c r="AA19" s="47">
        <f t="shared" si="6"/>
        <v>60</v>
      </c>
      <c r="AB19" s="47">
        <f t="shared" si="6"/>
        <v>0</v>
      </c>
      <c r="AC19" s="47">
        <f t="shared" si="6"/>
        <v>0</v>
      </c>
      <c r="AD19" s="47">
        <f t="shared" si="6"/>
        <v>0</v>
      </c>
      <c r="AE19" s="47">
        <f t="shared" si="6"/>
        <v>0</v>
      </c>
    </row>
    <row r="21" spans="2:31" ht="15.75" x14ac:dyDescent="0.25">
      <c r="B21" s="20" t="s">
        <v>28</v>
      </c>
      <c r="H21" s="81" t="s">
        <v>33</v>
      </c>
      <c r="I21" s="81"/>
      <c r="J21" s="81"/>
      <c r="K21" s="81"/>
      <c r="R21" s="81" t="s">
        <v>34</v>
      </c>
      <c r="S21" s="81"/>
      <c r="T21" s="81"/>
      <c r="U21" s="81"/>
      <c r="Z21" s="4"/>
      <c r="AA21" s="1" t="s">
        <v>16</v>
      </c>
      <c r="AB21" s="41"/>
      <c r="AC21" s="2"/>
      <c r="AD21" s="38"/>
      <c r="AE21" s="4"/>
    </row>
    <row r="22" spans="2:31" ht="15.75" x14ac:dyDescent="0.25">
      <c r="U22" s="3"/>
      <c r="Z22" s="38"/>
      <c r="AA22" s="24" t="s">
        <v>17</v>
      </c>
      <c r="AB22" s="42"/>
      <c r="AC22" s="6"/>
      <c r="AD22" s="38"/>
      <c r="AE22" s="3"/>
    </row>
    <row r="23" spans="2:31" ht="15.75" x14ac:dyDescent="0.25">
      <c r="U23" s="3"/>
      <c r="Z23" s="38"/>
      <c r="AA23" s="24" t="s">
        <v>18</v>
      </c>
      <c r="AB23" s="42"/>
      <c r="AC23" s="6"/>
      <c r="AD23" s="38"/>
      <c r="AE23" s="3"/>
    </row>
    <row r="24" spans="2:31" ht="15.75" x14ac:dyDescent="0.25">
      <c r="B24" s="82"/>
      <c r="C24" s="82"/>
      <c r="D24" s="82"/>
      <c r="E24" s="25"/>
      <c r="F24" s="25"/>
      <c r="G24" s="25"/>
      <c r="H24" s="82"/>
      <c r="I24" s="82"/>
      <c r="J24" s="82"/>
      <c r="K24" s="82"/>
      <c r="L24" s="82"/>
      <c r="M24" s="82"/>
      <c r="N24" s="82"/>
      <c r="O24" s="26"/>
      <c r="P24" s="26"/>
      <c r="Q24" s="26"/>
      <c r="R24" s="82"/>
      <c r="S24" s="82"/>
      <c r="T24" s="82"/>
      <c r="U24" s="82"/>
      <c r="V24" s="82"/>
      <c r="W24" s="82"/>
      <c r="X24" s="82"/>
      <c r="Z24" s="38"/>
      <c r="AA24" s="24" t="s">
        <v>19</v>
      </c>
      <c r="AB24" s="42"/>
      <c r="AC24" s="6"/>
      <c r="AD24" s="38"/>
      <c r="AE24" s="3"/>
    </row>
    <row r="25" spans="2:31" ht="15.75" customHeight="1" x14ac:dyDescent="0.25">
      <c r="B25" s="84" t="s">
        <v>29</v>
      </c>
      <c r="C25" s="84"/>
      <c r="D25" s="84"/>
      <c r="H25" s="83" t="s">
        <v>30</v>
      </c>
      <c r="I25" s="83"/>
      <c r="J25" s="83"/>
      <c r="K25" s="83"/>
      <c r="L25" s="83"/>
      <c r="M25" s="83"/>
      <c r="N25" s="83"/>
      <c r="O25" s="13"/>
      <c r="P25" s="13"/>
      <c r="Q25" s="13"/>
      <c r="R25" s="83" t="s">
        <v>31</v>
      </c>
      <c r="S25" s="83"/>
      <c r="T25" s="83"/>
      <c r="U25" s="83"/>
      <c r="V25" s="83"/>
      <c r="W25" s="83"/>
      <c r="X25" s="83"/>
      <c r="Z25" s="38"/>
      <c r="AA25" s="24" t="s">
        <v>20</v>
      </c>
      <c r="AB25" s="7"/>
      <c r="AC25" s="38"/>
      <c r="AD25" s="38"/>
      <c r="AE25" s="3"/>
    </row>
    <row r="26" spans="2:31" ht="15.75" x14ac:dyDescent="0.25">
      <c r="U26" s="3"/>
      <c r="Z26" s="38"/>
      <c r="AA26" s="24" t="s">
        <v>21</v>
      </c>
      <c r="AB26" s="42"/>
      <c r="AC26" s="6"/>
      <c r="AD26" s="38"/>
      <c r="AE26" s="3"/>
    </row>
    <row r="27" spans="2:31" ht="15.75" x14ac:dyDescent="0.25">
      <c r="U27" s="3"/>
      <c r="Z27" s="38"/>
      <c r="AA27" s="24" t="s">
        <v>22</v>
      </c>
      <c r="AB27" s="42"/>
      <c r="AC27" s="6"/>
      <c r="AD27" s="38"/>
      <c r="AE27" s="3"/>
    </row>
    <row r="28" spans="2:31" ht="15.75" x14ac:dyDescent="0.25">
      <c r="B28" s="21"/>
      <c r="C28" s="21"/>
      <c r="D28" s="21"/>
      <c r="E28" s="21"/>
      <c r="F28" s="21"/>
      <c r="G28" s="21"/>
      <c r="H28" s="21"/>
      <c r="I28" s="22"/>
      <c r="J28" s="22"/>
      <c r="K28" s="21"/>
      <c r="L28" s="21"/>
      <c r="M28" s="22"/>
      <c r="U28" s="7"/>
      <c r="Z28" s="38"/>
      <c r="AA28" s="24" t="s">
        <v>23</v>
      </c>
      <c r="AB28" s="7"/>
      <c r="AC28" s="38"/>
      <c r="AD28" s="38"/>
      <c r="AE28" s="3"/>
    </row>
    <row r="29" spans="2:31" ht="15.75" x14ac:dyDescent="0.25">
      <c r="B29" s="21" t="s">
        <v>32</v>
      </c>
      <c r="C29" s="23"/>
      <c r="D29" s="23"/>
      <c r="E29" s="23"/>
      <c r="F29" s="23"/>
      <c r="G29" s="23"/>
      <c r="H29" s="23"/>
      <c r="I29" s="23"/>
      <c r="J29" s="24"/>
      <c r="K29" s="24"/>
      <c r="L29" s="23"/>
      <c r="M29" s="23"/>
      <c r="N29" s="22"/>
      <c r="O29" s="21"/>
      <c r="U29" s="3"/>
      <c r="Z29" s="38"/>
      <c r="AA29" s="24" t="s">
        <v>24</v>
      </c>
      <c r="AB29" s="7"/>
      <c r="AC29" s="38"/>
      <c r="AD29" s="38"/>
      <c r="AE29" s="3"/>
    </row>
    <row r="30" spans="2:31" ht="15.75" x14ac:dyDescent="0.25"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3"/>
      <c r="M30" s="23"/>
      <c r="N30" s="22"/>
      <c r="O30" s="21"/>
      <c r="U30" s="3"/>
      <c r="Z30" s="38"/>
      <c r="AA30" s="24" t="s">
        <v>25</v>
      </c>
      <c r="AB30" s="7"/>
      <c r="AC30" s="38"/>
      <c r="AD30" s="38"/>
      <c r="AE30" s="3"/>
    </row>
    <row r="31" spans="2:31" ht="15.75" x14ac:dyDescent="0.25"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2"/>
      <c r="O31" s="21"/>
      <c r="U31" s="3"/>
      <c r="Z31" s="38"/>
      <c r="AA31" s="40" t="s">
        <v>26</v>
      </c>
      <c r="AB31" s="43"/>
      <c r="AC31" s="39"/>
      <c r="AD31" s="38"/>
      <c r="AE31" s="3"/>
    </row>
    <row r="32" spans="2:31" ht="15.75" x14ac:dyDescent="0.25">
      <c r="U32" s="3"/>
      <c r="Z32" s="39"/>
      <c r="AA32" s="40" t="s">
        <v>27</v>
      </c>
      <c r="AB32" s="43"/>
      <c r="AC32" s="39"/>
      <c r="AD32" s="39"/>
      <c r="AE32" s="9"/>
    </row>
    <row r="33" spans="2:31" ht="15.75" x14ac:dyDescent="0.25">
      <c r="B33" s="20"/>
      <c r="C33" s="20"/>
      <c r="D33" s="20"/>
      <c r="E33" s="20"/>
      <c r="F33" s="20"/>
      <c r="G33" s="20"/>
      <c r="H33" s="20"/>
      <c r="I33" s="20"/>
      <c r="U33" s="8"/>
      <c r="Z33" s="39"/>
      <c r="AD33" s="39"/>
      <c r="AE33" s="9"/>
    </row>
    <row r="34" spans="2:31" ht="15.75" x14ac:dyDescent="0.25">
      <c r="U34" s="8"/>
      <c r="Z34" s="39"/>
      <c r="AD34" s="39"/>
      <c r="AE34" s="9"/>
    </row>
  </sheetData>
  <mergeCells count="29">
    <mergeCell ref="B25:D25"/>
    <mergeCell ref="H25:N25"/>
    <mergeCell ref="R25:X25"/>
    <mergeCell ref="E19:F19"/>
    <mergeCell ref="H21:K21"/>
    <mergeCell ref="R21:U21"/>
    <mergeCell ref="B24:D24"/>
    <mergeCell ref="H24:N24"/>
    <mergeCell ref="R24:X2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AE18">
    <cfRule type="containsBlanks" dxfId="26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25" priority="27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18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6">
      <formula>EXACT(H15, "S")</formula>
    </cfRule>
    <cfRule type="expression" dxfId="8" priority="17">
      <formula>EXACT(H15, "R")</formula>
    </cfRule>
    <cfRule type="expression" dxfId="7" priority="18">
      <formula>EXACT(H15, "T")</formula>
    </cfRule>
    <cfRule type="containsText" dxfId="6" priority="19" operator="containsText" text="SH">
      <formula>NOT(ISERROR(SEARCH("SH",H15)))</formula>
    </cfRule>
    <cfRule type="expression" dxfId="5" priority="20">
      <formula>EXACT(H15, "RS")</formula>
    </cfRule>
    <cfRule type="containsText" dxfId="4" priority="21" operator="containsText" text="RH">
      <formula>NOT(ISERROR(SEARCH("RH",H15)))</formula>
    </cfRule>
    <cfRule type="expression" dxfId="3" priority="22">
      <formula>EXACT(H15, "LR")</formula>
    </cfRule>
    <cfRule type="expression" dxfId="2" priority="23">
      <formula>EXACT(H15, "L")</formula>
    </cfRule>
    <cfRule type="expression" dxfId="1" priority="24">
      <formula>EXACT(H15, "D")</formula>
    </cfRule>
    <cfRule type="expression" dxfId="0" priority="25">
      <formula>EXACT(H15, "A")</formula>
    </cfRule>
  </conditionalFormatting>
  <dataValidations count="1">
    <dataValidation type="list" allowBlank="1" showInputMessage="1" showErrorMessage="1" sqref="H14:W14" xr:uid="{4CBF365E-3CFA-43E7-82D1-8A33AEFFF857}">
      <formula1>"SH, LH"</formula1>
    </dataValidation>
  </dataValidations>
  <pageMargins left="0.7" right="0.7" top="0.75" bottom="0.75" header="0.3" footer="0.3"/>
  <pageSetup scale="4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6F46FC-9ECD-4F95-941C-9D87870EA11A}">
          <x14:formula1>
            <xm:f>Sheet3!$A$2:$A$54</xm:f>
          </x14:formula1>
          <xm:sqref>H15:W18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3"/>
  <sheetViews>
    <sheetView workbookViewId="0">
      <selection activeCell="G19" sqref="G19"/>
    </sheetView>
  </sheetViews>
  <sheetFormatPr defaultRowHeight="15" x14ac:dyDescent="0.25"/>
  <cols>
    <col min="1" max="1" width="6.5703125" style="36" customWidth="1"/>
  </cols>
  <sheetData>
    <row r="2" spans="1:1" x14ac:dyDescent="0.25">
      <c r="A2" s="36" t="s">
        <v>41</v>
      </c>
    </row>
    <row r="3" spans="1:1" x14ac:dyDescent="0.25">
      <c r="A3" s="36" t="s">
        <v>40</v>
      </c>
    </row>
    <row r="4" spans="1:1" x14ac:dyDescent="0.25">
      <c r="A4" s="36" t="s">
        <v>43</v>
      </c>
    </row>
    <row r="5" spans="1:1" x14ac:dyDescent="0.25">
      <c r="A5" s="36" t="s">
        <v>42</v>
      </c>
    </row>
    <row r="6" spans="1:1" x14ac:dyDescent="0.25">
      <c r="A6" s="36" t="s">
        <v>49</v>
      </c>
    </row>
    <row r="7" spans="1:1" x14ac:dyDescent="0.25">
      <c r="A7" s="36" t="s">
        <v>46</v>
      </c>
    </row>
    <row r="8" spans="1:1" x14ac:dyDescent="0.25">
      <c r="A8" s="36" t="s">
        <v>47</v>
      </c>
    </row>
    <row r="9" spans="1:1" x14ac:dyDescent="0.25">
      <c r="A9" s="36" t="s">
        <v>48</v>
      </c>
    </row>
    <row r="10" spans="1:1" x14ac:dyDescent="0.25">
      <c r="A10" s="36" t="s">
        <v>49</v>
      </c>
    </row>
    <row r="11" spans="1:1" x14ac:dyDescent="0.25">
      <c r="A11" s="36">
        <v>8</v>
      </c>
    </row>
    <row r="12" spans="1:1" x14ac:dyDescent="0.25">
      <c r="A12" s="36">
        <v>8.5</v>
      </c>
    </row>
    <row r="13" spans="1:1" x14ac:dyDescent="0.25">
      <c r="A13" s="36">
        <v>9</v>
      </c>
    </row>
    <row r="14" spans="1:1" x14ac:dyDescent="0.25">
      <c r="A14" s="36">
        <v>9.5</v>
      </c>
    </row>
    <row r="15" spans="1:1" x14ac:dyDescent="0.25">
      <c r="A15" s="36">
        <v>10</v>
      </c>
    </row>
    <row r="16" spans="1:1" x14ac:dyDescent="0.25">
      <c r="A16" s="36">
        <v>10.5</v>
      </c>
    </row>
    <row r="17" spans="1:1" x14ac:dyDescent="0.25">
      <c r="A17" s="36">
        <v>11</v>
      </c>
    </row>
    <row r="18" spans="1:1" x14ac:dyDescent="0.25">
      <c r="A18" s="36">
        <v>11.5</v>
      </c>
    </row>
    <row r="19" spans="1:1" x14ac:dyDescent="0.25">
      <c r="A19" s="36">
        <v>12</v>
      </c>
    </row>
    <row r="20" spans="1:1" x14ac:dyDescent="0.25">
      <c r="A20" s="36">
        <v>12.5</v>
      </c>
    </row>
    <row r="21" spans="1:1" x14ac:dyDescent="0.25">
      <c r="A21" s="36">
        <v>13</v>
      </c>
    </row>
    <row r="22" spans="1:1" x14ac:dyDescent="0.25">
      <c r="A22" s="36">
        <v>13.5</v>
      </c>
    </row>
    <row r="23" spans="1:1" x14ac:dyDescent="0.25">
      <c r="A23" s="36">
        <v>14</v>
      </c>
    </row>
    <row r="24" spans="1:1" x14ac:dyDescent="0.25">
      <c r="A24" s="36">
        <v>14.5</v>
      </c>
    </row>
    <row r="25" spans="1:1" x14ac:dyDescent="0.25">
      <c r="A25" s="36">
        <v>15</v>
      </c>
    </row>
    <row r="26" spans="1:1" x14ac:dyDescent="0.25">
      <c r="A26" s="36">
        <v>15.5</v>
      </c>
    </row>
    <row r="27" spans="1:1" x14ac:dyDescent="0.25">
      <c r="A27" s="36">
        <v>16</v>
      </c>
    </row>
    <row r="28" spans="1:1" x14ac:dyDescent="0.25">
      <c r="A28" s="36">
        <v>16.5</v>
      </c>
    </row>
    <row r="29" spans="1:1" x14ac:dyDescent="0.25">
      <c r="A29" s="36">
        <v>17</v>
      </c>
    </row>
    <row r="30" spans="1:1" x14ac:dyDescent="0.25">
      <c r="A30" s="36">
        <v>17.5</v>
      </c>
    </row>
    <row r="31" spans="1:1" x14ac:dyDescent="0.25">
      <c r="A31" s="36">
        <v>18</v>
      </c>
    </row>
    <row r="32" spans="1:1" x14ac:dyDescent="0.25">
      <c r="A32" s="36">
        <v>18.5</v>
      </c>
    </row>
    <row r="33" spans="1:1" x14ac:dyDescent="0.25">
      <c r="A33" s="36">
        <v>19</v>
      </c>
    </row>
    <row r="34" spans="1:1" x14ac:dyDescent="0.25">
      <c r="A34" s="36">
        <v>19.5</v>
      </c>
    </row>
    <row r="35" spans="1:1" x14ac:dyDescent="0.25">
      <c r="A35" s="36">
        <v>20</v>
      </c>
    </row>
    <row r="36" spans="1:1" x14ac:dyDescent="0.25">
      <c r="A36" s="36">
        <v>20.5</v>
      </c>
    </row>
    <row r="37" spans="1:1" x14ac:dyDescent="0.25">
      <c r="A37" s="36">
        <v>21</v>
      </c>
    </row>
    <row r="38" spans="1:1" x14ac:dyDescent="0.25">
      <c r="A38" s="36">
        <v>21.5</v>
      </c>
    </row>
    <row r="39" spans="1:1" x14ac:dyDescent="0.25">
      <c r="A39" s="36">
        <v>22</v>
      </c>
    </row>
    <row r="40" spans="1:1" x14ac:dyDescent="0.25">
      <c r="A40" s="36">
        <v>22.5</v>
      </c>
    </row>
    <row r="41" spans="1:1" x14ac:dyDescent="0.25">
      <c r="A41" s="36">
        <v>23</v>
      </c>
    </row>
    <row r="42" spans="1:1" x14ac:dyDescent="0.25">
      <c r="A42" s="36">
        <v>23.5</v>
      </c>
    </row>
    <row r="43" spans="1:1" x14ac:dyDescent="0.25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BSOP 09-16-30-25</vt:lpstr>
      <vt:lpstr>BSO1 09-16-30-25</vt:lpstr>
      <vt:lpstr>Sheet3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2025-10-03T01:13:28Z</cp:lastPrinted>
  <dcterms:created xsi:type="dcterms:W3CDTF">2025-09-25T07:44:03Z</dcterms:created>
  <dcterms:modified xsi:type="dcterms:W3CDTF">2025-10-29T08:08:07Z</dcterms:modified>
</cp:coreProperties>
</file>