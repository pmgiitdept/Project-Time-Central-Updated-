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5CF5B9-ACEE-4926-9D42-A805F5C2DD25}" xr6:coauthVersionLast="47" xr6:coauthVersionMax="47" xr10:uidLastSave="{00000000-0000-0000-0000-000000000000}"/>
  <bookViews>
    <workbookView xWindow="28680" yWindow="-120" windowWidth="20730" windowHeight="11040" xr2:uid="{05BC1890-48E5-4253-B660-38D036B8E33C}"/>
  </bookViews>
  <sheets>
    <sheet name="BSOP 09-16-30-25" sheetId="1" r:id="rId1"/>
    <sheet name="BSO1 09-16-30-25" sheetId="4" r:id="rId2"/>
    <sheet name="Sheet2" sheetId="5" r:id="rId3"/>
    <sheet name="Sheet3" sheetId="3" state="hidden" r:id="rId4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<sst xmlns="http://schemas.openxmlformats.org/spreadsheetml/2006/main" count="206" uniqueCount="94">
  <si>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</si>
  <si>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</si>
  <si>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</si>
  <si>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</si>
  <si>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</si>
  <si>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</si>
  <si>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</si>
  <si>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</si>
  <si>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</si>
  <si>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</si>
  <si>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</si>
  <si>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</si>
  <si>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</si>
  <si>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</si>
  <si>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</si>
  <si>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</si>
  <si>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</si>
  <si>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</si>
  <si>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</si>
  <si>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</si>
  <si>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</si>
  <si>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</si>
  <si>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</si>
  <si>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</si>
  <si>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</si>
  <si>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</si>
  <si>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</si>
  <si>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</si>
  <si>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</si>
  <si>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</si>
  <si>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</si>
  <si>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</si>
  <si>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</si>
  <si>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</si>
  <si>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</si>
  <si>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</si>
  <si>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</si>
  <si>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</si>
  <si>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</si>
  <si>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</si>
  <si>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</si>
  <si>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</si>
  <si>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</si>
  <si>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</si>
  <si>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</si>
  <si>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</si>
  <si>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</si>
  <si>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</si>
  <si>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</si>
  <si>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</si>
  <si>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</si>
  <si>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</si>
  <si>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</si>
  <si>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</si>
  <si>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</si>
  <si>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</si>
  <si>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</si>
  <si>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</si>
  <si>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</si>
  <si>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</si>
  <si>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</si>
  <si>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</si>
  <si>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</si>
  <si>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</si>
  <si>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</si>
  <si>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</si>
  <si>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</si>
  <si>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</si>
  <si>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09/31/2025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</si>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</sst>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tabSelected="1" view="pageBreakPreview" zoomScale="70" zoomScaleNormal="70" zoomScaleSheetLayoutView="70" workbookViewId="0">
      <selection activeCell="D11" sqref="D11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56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45916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>
        <v>45930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9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70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1">
        <v>10</v>
      </c>
      <c r="T15" s="19" t="s">
        <v>40</v>
      </c>
      <c r="U15" s="19">
        <v>12</v>
      </c>
      <c r="V15" s="19">
        <v>12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67</v>
      </c>
      <c r="D16" s="18" t="s">
        <v>79</v>
      </c>
      <c r="E16" s="18" t="s">
        <v>50</v>
      </c>
      <c r="F16" s="18" t="s">
        <v>51</v>
      </c>
      <c r="G16" s="17" t="s">
        <v>69</v>
      </c>
      <c r="H16" s="56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7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73</v>
      </c>
      <c r="D17" s="18" t="s">
        <v>78</v>
      </c>
      <c r="E17" s="18" t="s">
        <v>70</v>
      </c>
      <c r="F17" s="18" t="s">
        <v>51</v>
      </c>
      <c r="G17" s="17" t="s">
        <v>69</v>
      </c>
      <c r="H17" s="56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7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71</v>
      </c>
      <c r="D18" s="18" t="s">
        <v>77</v>
      </c>
      <c r="E18" s="18" t="s">
        <v>52</v>
      </c>
      <c r="F18" s="18" t="s">
        <v>51</v>
      </c>
      <c r="G18" s="17" t="s">
        <v>69</v>
      </c>
      <c r="H18" s="56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7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72</v>
      </c>
      <c r="D19" s="18" t="s">
        <v>76</v>
      </c>
      <c r="E19" s="18" t="s">
        <v>52</v>
      </c>
      <c r="F19" s="18" t="s">
        <v>51</v>
      </c>
      <c r="G19" s="17" t="s">
        <v>84</v>
      </c>
      <c r="H19" s="56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7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74</v>
      </c>
      <c r="D20" s="18" t="s">
        <v>75</v>
      </c>
      <c r="E20" s="18" t="s">
        <v>52</v>
      </c>
      <c r="F20" s="18" t="s">
        <v>80</v>
      </c>
      <c r="G20" s="17" t="s">
        <v>85</v>
      </c>
      <c r="H20" s="56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7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81</v>
      </c>
      <c r="D21" s="18" t="s">
        <v>82</v>
      </c>
      <c r="E21" s="18" t="s">
        <v>52</v>
      </c>
      <c r="F21" s="18" t="s">
        <v>83</v>
      </c>
      <c r="G21" s="17" t="s">
        <v>86</v>
      </c>
      <c r="H21" s="56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7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87</v>
      </c>
      <c r="D22" s="18" t="s">
        <v>88</v>
      </c>
      <c r="E22" s="18" t="s">
        <v>52</v>
      </c>
      <c r="F22" s="68" t="s">
        <v>89</v>
      </c>
      <c r="G22" s="17"/>
      <c r="H22" s="56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7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6"/>
      <c r="I23" s="19"/>
      <c r="J23" s="19"/>
      <c r="K23" s="19"/>
      <c r="L23" s="6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7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7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7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85" t="s">
        <v>54</v>
      </c>
      <c r="F26" s="86"/>
      <c r="G26" s="29">
        <f>SUM(H26:W26)</f>
        <v>100</v>
      </c>
      <c r="H26" s="58">
        <f t="shared" ref="H26:W26" si="5">COUNTA(H15:H25)-COUNTIF(H15:H25,"A")-COUNTIF(H15:H25,"D")-COUNTIF(H15:H25,"L")</f>
        <v>7</v>
      </c>
      <c r="I26" s="59">
        <f t="shared" si="5"/>
        <v>7</v>
      </c>
      <c r="J26" s="59">
        <f t="shared" si="5"/>
        <v>7</v>
      </c>
      <c r="K26" s="59">
        <f t="shared" si="5"/>
        <v>6</v>
      </c>
      <c r="L26" s="59">
        <f t="shared" si="5"/>
        <v>6</v>
      </c>
      <c r="M26" s="59">
        <f t="shared" si="5"/>
        <v>6</v>
      </c>
      <c r="N26" s="59">
        <f t="shared" si="5"/>
        <v>7</v>
      </c>
      <c r="O26" s="59">
        <f t="shared" si="5"/>
        <v>7</v>
      </c>
      <c r="P26" s="59">
        <f t="shared" si="5"/>
        <v>7</v>
      </c>
      <c r="Q26" s="59">
        <f t="shared" si="5"/>
        <v>7</v>
      </c>
      <c r="R26" s="59">
        <f t="shared" si="5"/>
        <v>7</v>
      </c>
      <c r="S26" s="59">
        <f t="shared" si="5"/>
        <v>6</v>
      </c>
      <c r="T26" s="59">
        <f t="shared" si="5"/>
        <v>6</v>
      </c>
      <c r="U26" s="59">
        <f t="shared" si="5"/>
        <v>7</v>
      </c>
      <c r="V26" s="59">
        <f t="shared" si="5"/>
        <v>7</v>
      </c>
      <c r="W26" s="60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 x14ac:dyDescent="0.25">
      <c r="B28" s="20" t="s">
        <v>28</v>
      </c>
      <c r="H28" s="81" t="s">
        <v>33</v>
      </c>
      <c r="I28" s="81"/>
      <c r="J28" s="81"/>
      <c r="K28" s="81"/>
      <c r="R28" s="81" t="s">
        <v>34</v>
      </c>
      <c r="S28" s="81"/>
      <c r="T28" s="81"/>
      <c r="U28" s="81"/>
      <c r="Z28" s="4"/>
      <c r="AA28" s="1" t="s">
        <v>16</v>
      </c>
      <c r="AB28" s="41"/>
      <c r="AC28" s="2"/>
      <c r="AD28" s="38"/>
      <c r="AE28" s="4"/>
    </row>
    <row r="29" spans="2:31" ht="15.75" x14ac:dyDescent="0.25">
      <c r="U29" s="3"/>
      <c r="Z29" s="38"/>
      <c r="AA29" s="24" t="s">
        <v>17</v>
      </c>
      <c r="AB29" s="42"/>
      <c r="AC29" s="6"/>
      <c r="AD29" s="38"/>
      <c r="AE29" s="3"/>
    </row>
    <row r="30" spans="2:31" ht="15.75" x14ac:dyDescent="0.25">
      <c r="U30" s="3"/>
      <c r="Z30" s="38"/>
      <c r="AA30" s="24" t="s">
        <v>18</v>
      </c>
      <c r="AB30" s="42"/>
      <c r="AC30" s="6"/>
      <c r="AD30" s="38"/>
      <c r="AE30" s="3"/>
    </row>
    <row r="31" spans="2:31" ht="15.75" x14ac:dyDescent="0.25">
      <c r="B31" s="82"/>
      <c r="C31" s="82"/>
      <c r="D31" s="82"/>
      <c r="E31" s="25"/>
      <c r="F31" s="25"/>
      <c r="G31" s="25"/>
      <c r="H31" s="82"/>
      <c r="I31" s="82"/>
      <c r="J31" s="82"/>
      <c r="K31" s="82"/>
      <c r="L31" s="82"/>
      <c r="M31" s="82"/>
      <c r="N31" s="82"/>
      <c r="O31" s="26"/>
      <c r="P31" s="26"/>
      <c r="Q31" s="26"/>
      <c r="R31" s="82"/>
      <c r="S31" s="82"/>
      <c r="T31" s="82"/>
      <c r="U31" s="82"/>
      <c r="V31" s="82"/>
      <c r="W31" s="82"/>
      <c r="X31" s="82"/>
      <c r="Z31" s="38"/>
      <c r="AA31" s="24" t="s">
        <v>19</v>
      </c>
      <c r="AB31" s="42"/>
      <c r="AC31" s="6"/>
      <c r="AD31" s="38"/>
      <c r="AE31" s="3"/>
    </row>
    <row r="32" spans="2:31" ht="15.75" customHeight="1" x14ac:dyDescent="0.25">
      <c r="B32" s="84" t="s">
        <v>29</v>
      </c>
      <c r="C32" s="84"/>
      <c r="D32" s="84"/>
      <c r="H32" s="83" t="s">
        <v>30</v>
      </c>
      <c r="I32" s="83"/>
      <c r="J32" s="83"/>
      <c r="K32" s="83"/>
      <c r="L32" s="83"/>
      <c r="M32" s="83"/>
      <c r="N32" s="83"/>
      <c r="O32" s="13"/>
      <c r="P32" s="13"/>
      <c r="Q32" s="13"/>
      <c r="R32" s="83" t="s">
        <v>31</v>
      </c>
      <c r="S32" s="83"/>
      <c r="T32" s="83"/>
      <c r="U32" s="83"/>
      <c r="V32" s="83"/>
      <c r="W32" s="83"/>
      <c r="X32" s="83"/>
      <c r="Z32" s="38"/>
      <c r="AA32" s="24" t="s">
        <v>20</v>
      </c>
      <c r="AB32" s="7"/>
      <c r="AC32" s="38"/>
      <c r="AD32" s="38"/>
      <c r="AE32" s="3"/>
    </row>
    <row r="33" spans="2:31" ht="15.75" x14ac:dyDescent="0.25">
      <c r="U33" s="3"/>
      <c r="Z33" s="38"/>
      <c r="AA33" s="24" t="s">
        <v>21</v>
      </c>
      <c r="AB33" s="42"/>
      <c r="AC33" s="6"/>
      <c r="AD33" s="38"/>
      <c r="AE33" s="3"/>
    </row>
    <row r="34" spans="2:31" ht="15.75" x14ac:dyDescent="0.25">
      <c r="U34" s="3"/>
      <c r="Z34" s="38"/>
      <c r="AA34" s="24" t="s">
        <v>22</v>
      </c>
      <c r="AB34" s="42"/>
      <c r="AC34" s="6"/>
      <c r="AD34" s="38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 x14ac:dyDescent="0.25">
      <c r="U39" s="3"/>
      <c r="Z39" s="39"/>
      <c r="AA39" s="40" t="s">
        <v>27</v>
      </c>
      <c r="AB39" s="43"/>
      <c r="AC39" s="39"/>
      <c r="AD39" s="39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 x14ac:dyDescent="0.25">
      <c r="U41" s="8"/>
      <c r="Z41" s="39"/>
      <c r="AD41" s="39"/>
      <c r="AE41" s="9"/>
    </row>
    <row r="52" spans="25:25" x14ac:dyDescent="0.25">
      <c r="Y52" s="37" t="s">
        <v>93</v>
      </c>
    </row>
  </sheetData>
  <sheetProtection insertRows="0"/>
  <mergeCells count="29">
    <mergeCell ref="B12:B14"/>
    <mergeCell ref="E26:F26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7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zoomScale="50" zoomScaleNormal="50" workbookViewId="0">
      <selection activeCell="X40" sqref="X40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90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45916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 t="s">
        <v>68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7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91</v>
      </c>
      <c r="D15" s="18" t="s">
        <v>92</v>
      </c>
      <c r="E15" s="18" t="s">
        <v>52</v>
      </c>
      <c r="F15" s="18" t="s">
        <v>51</v>
      </c>
      <c r="G15" s="17" t="s">
        <v>69</v>
      </c>
      <c r="H15" s="56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18" si="0">ROW()-14</f>
        <v>2</v>
      </c>
      <c r="C16" s="18" t="s">
        <v>87</v>
      </c>
      <c r="D16" s="18" t="s">
        <v>88</v>
      </c>
      <c r="E16" s="18" t="s">
        <v>52</v>
      </c>
      <c r="F16" s="18" t="s">
        <v>51</v>
      </c>
      <c r="G16" s="17" t="s">
        <v>69</v>
      </c>
      <c r="H16" s="56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7"/>
      <c r="X16" s="50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1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7"/>
      <c r="X17" s="50"/>
      <c r="Y17" s="19"/>
      <c r="Z17" s="19"/>
      <c r="AA17" s="19"/>
      <c r="AB17" s="19"/>
      <c r="AC17" s="19"/>
      <c r="AD17" s="19"/>
      <c r="AE17" s="51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7"/>
      <c r="X18" s="50"/>
      <c r="Y18" s="19"/>
      <c r="Z18" s="19"/>
      <c r="AA18" s="19"/>
      <c r="AB18" s="19"/>
      <c r="AC18" s="19"/>
      <c r="AD18" s="19"/>
      <c r="AE18" s="51"/>
    </row>
    <row r="19" spans="2:31" ht="22.5" customHeight="1" thickBot="1" x14ac:dyDescent="0.3">
      <c r="B19" s="19"/>
      <c r="C19" s="18"/>
      <c r="D19" s="18"/>
      <c r="E19" s="85" t="s">
        <v>54</v>
      </c>
      <c r="F19" s="86"/>
      <c r="G19" s="29">
        <f>SUM(H19:W19)</f>
        <v>15</v>
      </c>
      <c r="H19" s="58">
        <f t="shared" ref="H19:W19" si="5">COUNTA(H15:H18)-COUNTIF(H15:H18,"A")-COUNTIF(H15:H18,"D")-COUNTIF(H15:H18,"L")</f>
        <v>1</v>
      </c>
      <c r="I19" s="59">
        <f t="shared" si="5"/>
        <v>1</v>
      </c>
      <c r="J19" s="59">
        <f t="shared" si="5"/>
        <v>1</v>
      </c>
      <c r="K19" s="59">
        <f t="shared" si="5"/>
        <v>1</v>
      </c>
      <c r="L19" s="59">
        <f t="shared" si="5"/>
        <v>1</v>
      </c>
      <c r="M19" s="59">
        <f t="shared" si="5"/>
        <v>1</v>
      </c>
      <c r="N19" s="59">
        <f t="shared" si="5"/>
        <v>1</v>
      </c>
      <c r="O19" s="59">
        <f t="shared" si="5"/>
        <v>1</v>
      </c>
      <c r="P19" s="59">
        <f t="shared" si="5"/>
        <v>1</v>
      </c>
      <c r="Q19" s="59">
        <f t="shared" si="5"/>
        <v>1</v>
      </c>
      <c r="R19" s="59">
        <f t="shared" si="5"/>
        <v>1</v>
      </c>
      <c r="S19" s="59">
        <f t="shared" si="5"/>
        <v>1</v>
      </c>
      <c r="T19" s="59">
        <f t="shared" si="5"/>
        <v>1</v>
      </c>
      <c r="U19" s="59">
        <f t="shared" si="5"/>
        <v>1</v>
      </c>
      <c r="V19" s="59">
        <f t="shared" si="5"/>
        <v>1</v>
      </c>
      <c r="W19" s="60">
        <f t="shared" si="5"/>
        <v>0</v>
      </c>
      <c r="X19" s="46">
        <f t="shared" ref="X19:AE19" si="6">SUM(X15:X18)</f>
        <v>15</v>
      </c>
      <c r="Y19" s="47">
        <f t="shared" si="6"/>
        <v>120</v>
      </c>
      <c r="Z19" s="47">
        <f t="shared" si="6"/>
        <v>44</v>
      </c>
      <c r="AA19" s="47">
        <f t="shared" si="6"/>
        <v>60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</row>
    <row r="21" spans="2:31" ht="15.75" x14ac:dyDescent="0.25">
      <c r="B21" s="20" t="s">
        <v>28</v>
      </c>
      <c r="H21" s="81" t="s">
        <v>33</v>
      </c>
      <c r="I21" s="81"/>
      <c r="J21" s="81"/>
      <c r="K21" s="81"/>
      <c r="R21" s="81" t="s">
        <v>34</v>
      </c>
      <c r="S21" s="81"/>
      <c r="T21" s="81"/>
      <c r="U21" s="81"/>
      <c r="Z21" s="4"/>
      <c r="AA21" s="1" t="s">
        <v>16</v>
      </c>
      <c r="AB21" s="41"/>
      <c r="AC21" s="2"/>
      <c r="AD21" s="38"/>
      <c r="AE21" s="4"/>
    </row>
    <row r="22" spans="2:31" ht="15.75" x14ac:dyDescent="0.25">
      <c r="U22" s="3"/>
      <c r="Z22" s="38"/>
      <c r="AA22" s="24" t="s">
        <v>17</v>
      </c>
      <c r="AB22" s="42"/>
      <c r="AC22" s="6"/>
      <c r="AD22" s="38"/>
      <c r="AE22" s="3"/>
    </row>
    <row r="23" spans="2:31" ht="15.75" x14ac:dyDescent="0.25">
      <c r="U23" s="3"/>
      <c r="Z23" s="38"/>
      <c r="AA23" s="24" t="s">
        <v>18</v>
      </c>
      <c r="AB23" s="42"/>
      <c r="AC23" s="6"/>
      <c r="AD23" s="38"/>
      <c r="AE23" s="3"/>
    </row>
    <row r="24" spans="2:31" ht="15.75" x14ac:dyDescent="0.25">
      <c r="B24" s="82"/>
      <c r="C24" s="82"/>
      <c r="D24" s="82"/>
      <c r="E24" s="25"/>
      <c r="F24" s="25"/>
      <c r="G24" s="25"/>
      <c r="H24" s="82"/>
      <c r="I24" s="82"/>
      <c r="J24" s="82"/>
      <c r="K24" s="82"/>
      <c r="L24" s="82"/>
      <c r="M24" s="82"/>
      <c r="N24" s="82"/>
      <c r="O24" s="26"/>
      <c r="P24" s="26"/>
      <c r="Q24" s="26"/>
      <c r="R24" s="82"/>
      <c r="S24" s="82"/>
      <c r="T24" s="82"/>
      <c r="U24" s="82"/>
      <c r="V24" s="82"/>
      <c r="W24" s="82"/>
      <c r="X24" s="82"/>
      <c r="Z24" s="38"/>
      <c r="AA24" s="24" t="s">
        <v>19</v>
      </c>
      <c r="AB24" s="42"/>
      <c r="AC24" s="6"/>
      <c r="AD24" s="38"/>
      <c r="AE24" s="3"/>
    </row>
    <row r="25" spans="2:31" ht="15.75" customHeight="1" x14ac:dyDescent="0.25">
      <c r="B25" s="84" t="s">
        <v>29</v>
      </c>
      <c r="C25" s="84"/>
      <c r="D25" s="84"/>
      <c r="H25" s="83" t="s">
        <v>30</v>
      </c>
      <c r="I25" s="83"/>
      <c r="J25" s="83"/>
      <c r="K25" s="83"/>
      <c r="L25" s="83"/>
      <c r="M25" s="83"/>
      <c r="N25" s="83"/>
      <c r="O25" s="13"/>
      <c r="P25" s="13"/>
      <c r="Q25" s="13"/>
      <c r="R25" s="83" t="s">
        <v>31</v>
      </c>
      <c r="S25" s="83"/>
      <c r="T25" s="83"/>
      <c r="U25" s="83"/>
      <c r="V25" s="83"/>
      <c r="W25" s="83"/>
      <c r="X25" s="83"/>
      <c r="Z25" s="38"/>
      <c r="AA25" s="24" t="s">
        <v>20</v>
      </c>
      <c r="AB25" s="7"/>
      <c r="AC25" s="38"/>
      <c r="AD25" s="38"/>
      <c r="AE25" s="3"/>
    </row>
    <row r="26" spans="2:31" ht="15.75" x14ac:dyDescent="0.25">
      <c r="U26" s="3"/>
      <c r="Z26" s="38"/>
      <c r="AA26" s="24" t="s">
        <v>21</v>
      </c>
      <c r="AB26" s="42"/>
      <c r="AC26" s="6"/>
      <c r="AD26" s="38"/>
      <c r="AE26" s="3"/>
    </row>
    <row r="27" spans="2:31" ht="15.75" x14ac:dyDescent="0.25">
      <c r="U27" s="3"/>
      <c r="Z27" s="38"/>
      <c r="AA27" s="24" t="s">
        <v>22</v>
      </c>
      <c r="AB27" s="42"/>
      <c r="AC27" s="6"/>
      <c r="AD27" s="38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8"/>
      <c r="AA28" s="24" t="s">
        <v>23</v>
      </c>
      <c r="AB28" s="7"/>
      <c r="AC28" s="38"/>
      <c r="AD28" s="38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8"/>
      <c r="AA29" s="24" t="s">
        <v>24</v>
      </c>
      <c r="AB29" s="7"/>
      <c r="AC29" s="38"/>
      <c r="AD29" s="38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8"/>
      <c r="AA30" s="24" t="s">
        <v>25</v>
      </c>
      <c r="AB30" s="7"/>
      <c r="AC30" s="38"/>
      <c r="AD30" s="38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8"/>
      <c r="AA31" s="40" t="s">
        <v>26</v>
      </c>
      <c r="AB31" s="43"/>
      <c r="AC31" s="39"/>
      <c r="AD31" s="38"/>
      <c r="AE31" s="3"/>
    </row>
    <row r="32" spans="2:31" ht="15.75" x14ac:dyDescent="0.25">
      <c r="U32" s="3"/>
      <c r="Z32" s="39"/>
      <c r="AA32" s="40" t="s">
        <v>27</v>
      </c>
      <c r="AB32" s="43"/>
      <c r="AC32" s="39"/>
      <c r="AD32" s="39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9"/>
      <c r="AD33" s="39"/>
      <c r="AE33" s="9"/>
    </row>
    <row r="34" spans="2:31" ht="15.75" x14ac:dyDescent="0.25">
      <c r="U34" s="8"/>
      <c r="Z34" s="39"/>
      <c r="AD34" s="39"/>
      <c r="AE34" s="9"/>
    </row>
  </sheetData>
  <mergeCells count="29"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Sheet3!$A$2:$A$54</xm:f>
          </x14:formula1>
          <xm:sqref>H15:W18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CC91-8BFE-4609-AD5D-BB180E48AD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BSOP 09-16-30-25</vt:lpstr>
      <vt:lpstr>BSO1 09-16-30-25</vt:lpstr>
      <vt:lpstr>Sheet2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2025-10-03T08:43:51Z</dcterms:modified>
</cp:coreProperties>
</file>