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3982BA-EDA3-472D-A0F4-764CEA6E014A}" xr6:coauthVersionLast="47" xr6:coauthVersionMax="47" xr10:uidLastSave="{00000000-0000-0000-0000-000000000000}"/>
  <bookViews>
    <workbookView xWindow="-120" yWindow="-120" windowWidth="29040" windowHeight="15720" xr2:uid="{05BC1890-48E5-4253-B660-38D036B8E33C}"/>
  </bookViews>
  <sheets>
    <sheet name="BSOP 09-16-30-25" sheetId="1" r:id="rId1"/>
    <sheet name="Sheet3" sheetId="3" state="hidden" r:id="rId2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X26" i="1" l="1"/>
  <c r="AA23" i="1"/>
  <c r="AA22" i="1"/>
  <c r="AA21" i="1"/>
  <c r="AA16" i="1"/>
  <c r="AA25" i="1"/>
  <c r="AA24" i="1"/>
  <c r="AA17" i="1"/>
  <c r="AA19" i="1"/>
  <c r="AA18" i="1"/>
  <c r="AA20" i="1"/>
  <c r="I26" i="1" l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<sst xmlns="http://schemas.openxmlformats.org/spreadsheetml/2006/main" count="129" uniqueCount="90">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</sst>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6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tabSelected="1" view="pageBreakPreview" zoomScale="70" zoomScaleNormal="70" zoomScaleSheetLayoutView="70" workbookViewId="0">
      <selection activeCell="AJ18" sqref="AJ18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80" t="s">
        <v>0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2"/>
    </row>
    <row r="3" spans="2:31" ht="15.75" x14ac:dyDescent="0.25">
      <c r="B3" s="11"/>
      <c r="C3" s="83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</row>
    <row r="4" spans="2:31" ht="15.75" x14ac:dyDescent="0.25">
      <c r="B4" s="11"/>
      <c r="C4" s="86" t="s">
        <v>1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8"/>
    </row>
    <row r="5" spans="2:31" ht="15.75" x14ac:dyDescent="0.25">
      <c r="B5" s="11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</row>
    <row r="6" spans="2:31" ht="16.5" customHeight="1" thickBot="1" x14ac:dyDescent="0.3">
      <c r="B6" s="12"/>
      <c r="C6" s="94" t="s">
        <v>53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6"/>
    </row>
    <row r="7" spans="2:31" ht="23.25" customHeight="1" x14ac:dyDescent="0.25">
      <c r="C7" s="60" t="s">
        <v>55</v>
      </c>
      <c r="G7" s="34"/>
      <c r="H7" s="34"/>
    </row>
    <row r="8" spans="2:31" ht="15" customHeight="1" x14ac:dyDescent="0.25">
      <c r="B8" s="27"/>
      <c r="C8" s="73" t="s">
        <v>56</v>
      </c>
      <c r="D8" s="74"/>
      <c r="E8" s="74"/>
      <c r="F8" s="93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8">
        <v>45916</v>
      </c>
      <c r="E9" s="98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7">
        <v>45930</v>
      </c>
      <c r="E10" s="97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70" t="s">
        <v>4</v>
      </c>
      <c r="C12" s="70" t="s">
        <v>5</v>
      </c>
      <c r="D12" s="70" t="s">
        <v>45</v>
      </c>
      <c r="E12" s="70" t="s">
        <v>44</v>
      </c>
      <c r="F12" s="70" t="s">
        <v>38</v>
      </c>
      <c r="G12" s="75" t="s">
        <v>39</v>
      </c>
      <c r="H12" s="62" t="s">
        <v>60</v>
      </c>
      <c r="I12" s="63" t="s">
        <v>61</v>
      </c>
      <c r="J12" s="63" t="s">
        <v>62</v>
      </c>
      <c r="K12" s="67" t="s">
        <v>63</v>
      </c>
      <c r="L12" s="63" t="s">
        <v>64</v>
      </c>
      <c r="M12" s="65" t="s">
        <v>65</v>
      </c>
      <c r="N12" s="63" t="s">
        <v>66</v>
      </c>
      <c r="O12" s="63" t="s">
        <v>60</v>
      </c>
      <c r="P12" s="63" t="s">
        <v>61</v>
      </c>
      <c r="Q12" s="63" t="s">
        <v>62</v>
      </c>
      <c r="R12" s="64" t="s">
        <v>63</v>
      </c>
      <c r="S12" s="63" t="s">
        <v>64</v>
      </c>
      <c r="T12" s="65" t="s">
        <v>65</v>
      </c>
      <c r="U12" s="63" t="s">
        <v>66</v>
      </c>
      <c r="V12" s="63" t="s">
        <v>60</v>
      </c>
      <c r="W12" s="6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70" t="s">
        <v>37</v>
      </c>
    </row>
    <row r="13" spans="2:31" ht="13.5" customHeight="1" x14ac:dyDescent="0.25">
      <c r="B13" s="71"/>
      <c r="C13" s="71"/>
      <c r="D13" s="71"/>
      <c r="E13" s="71"/>
      <c r="F13" s="71"/>
      <c r="G13" s="76"/>
      <c r="H13" s="51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2"/>
      <c r="X13" s="78" t="s">
        <v>15</v>
      </c>
      <c r="Y13" s="70" t="s">
        <v>7</v>
      </c>
      <c r="Z13" s="70" t="s">
        <v>9</v>
      </c>
      <c r="AA13" s="70" t="s">
        <v>14</v>
      </c>
      <c r="AB13" s="70" t="s">
        <v>13</v>
      </c>
      <c r="AC13" s="70" t="s">
        <v>35</v>
      </c>
      <c r="AD13" s="70" t="s">
        <v>13</v>
      </c>
      <c r="AE13" s="71"/>
    </row>
    <row r="14" spans="2:31" ht="16.5" customHeight="1" x14ac:dyDescent="0.25">
      <c r="B14" s="72"/>
      <c r="C14" s="72"/>
      <c r="D14" s="72"/>
      <c r="E14" s="72"/>
      <c r="F14" s="72"/>
      <c r="G14" s="77"/>
      <c r="H14" s="53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4"/>
      <c r="X14" s="79"/>
      <c r="Y14" s="72"/>
      <c r="Z14" s="72"/>
      <c r="AA14" s="72"/>
      <c r="AB14" s="72"/>
      <c r="AC14" s="72"/>
      <c r="AD14" s="72"/>
      <c r="AE14" s="72"/>
    </row>
    <row r="15" spans="2:31" ht="24.95" customHeight="1" x14ac:dyDescent="0.25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68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69">
        <v>10</v>
      </c>
      <c r="T15" s="19" t="s">
        <v>40</v>
      </c>
      <c r="U15" s="19">
        <v>12</v>
      </c>
      <c r="V15" s="19">
        <v>12</v>
      </c>
      <c r="W15" s="56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67</v>
      </c>
      <c r="D16" s="18" t="s">
        <v>78</v>
      </c>
      <c r="E16" s="18" t="s">
        <v>50</v>
      </c>
      <c r="F16" s="18" t="s">
        <v>51</v>
      </c>
      <c r="G16" s="17" t="s">
        <v>68</v>
      </c>
      <c r="H16" s="55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6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72</v>
      </c>
      <c r="D17" s="18" t="s">
        <v>77</v>
      </c>
      <c r="E17" s="18" t="s">
        <v>69</v>
      </c>
      <c r="F17" s="18" t="s">
        <v>51</v>
      </c>
      <c r="G17" s="17" t="s">
        <v>68</v>
      </c>
      <c r="H17" s="55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6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70</v>
      </c>
      <c r="D18" s="18" t="s">
        <v>76</v>
      </c>
      <c r="E18" s="18" t="s">
        <v>52</v>
      </c>
      <c r="F18" s="18" t="s">
        <v>51</v>
      </c>
      <c r="G18" s="17" t="s">
        <v>68</v>
      </c>
      <c r="H18" s="55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6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71</v>
      </c>
      <c r="D19" s="18" t="s">
        <v>75</v>
      </c>
      <c r="E19" s="18" t="s">
        <v>52</v>
      </c>
      <c r="F19" s="18" t="s">
        <v>51</v>
      </c>
      <c r="G19" s="17" t="s">
        <v>83</v>
      </c>
      <c r="H19" s="55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6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73</v>
      </c>
      <c r="D20" s="18" t="s">
        <v>74</v>
      </c>
      <c r="E20" s="18" t="s">
        <v>52</v>
      </c>
      <c r="F20" s="18" t="s">
        <v>79</v>
      </c>
      <c r="G20" s="17" t="s">
        <v>84</v>
      </c>
      <c r="H20" s="55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6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80</v>
      </c>
      <c r="D21" s="18" t="s">
        <v>81</v>
      </c>
      <c r="E21" s="18" t="s">
        <v>52</v>
      </c>
      <c r="F21" s="18" t="s">
        <v>82</v>
      </c>
      <c r="G21" s="17" t="s">
        <v>85</v>
      </c>
      <c r="H21" s="55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6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86</v>
      </c>
      <c r="D22" s="18" t="s">
        <v>87</v>
      </c>
      <c r="E22" s="18" t="s">
        <v>52</v>
      </c>
      <c r="F22" s="66" t="s">
        <v>88</v>
      </c>
      <c r="G22" s="17"/>
      <c r="H22" s="55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6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5"/>
      <c r="I23" s="19"/>
      <c r="J23" s="19"/>
      <c r="K23" s="19"/>
      <c r="L23" s="61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6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6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6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73" t="s">
        <v>54</v>
      </c>
      <c r="F26" s="74"/>
      <c r="G26" s="29">
        <f>SUM(H26:W26)</f>
        <v>100</v>
      </c>
      <c r="H26" s="57">
        <f t="shared" ref="H26:W26" si="5">COUNTA(H15:H25)-COUNTIF(H15:H25,"A")-COUNTIF(H15:H25,"D")-COUNTIF(H15:H25,"L")</f>
        <v>7</v>
      </c>
      <c r="I26" s="58">
        <f t="shared" si="5"/>
        <v>7</v>
      </c>
      <c r="J26" s="58">
        <f t="shared" si="5"/>
        <v>7</v>
      </c>
      <c r="K26" s="58">
        <f t="shared" si="5"/>
        <v>6</v>
      </c>
      <c r="L26" s="58">
        <f t="shared" si="5"/>
        <v>6</v>
      </c>
      <c r="M26" s="58">
        <f t="shared" si="5"/>
        <v>6</v>
      </c>
      <c r="N26" s="58">
        <f t="shared" si="5"/>
        <v>7</v>
      </c>
      <c r="O26" s="58">
        <f t="shared" si="5"/>
        <v>7</v>
      </c>
      <c r="P26" s="58">
        <f t="shared" si="5"/>
        <v>7</v>
      </c>
      <c r="Q26" s="58">
        <f t="shared" si="5"/>
        <v>7</v>
      </c>
      <c r="R26" s="58">
        <f t="shared" si="5"/>
        <v>7</v>
      </c>
      <c r="S26" s="58">
        <f t="shared" si="5"/>
        <v>6</v>
      </c>
      <c r="T26" s="58">
        <f t="shared" si="5"/>
        <v>6</v>
      </c>
      <c r="U26" s="58">
        <f t="shared" si="5"/>
        <v>7</v>
      </c>
      <c r="V26" s="58">
        <f t="shared" si="5"/>
        <v>7</v>
      </c>
      <c r="W26" s="59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 x14ac:dyDescent="0.25">
      <c r="B28" s="20" t="s">
        <v>28</v>
      </c>
      <c r="H28" s="89" t="s">
        <v>33</v>
      </c>
      <c r="I28" s="89"/>
      <c r="J28" s="89"/>
      <c r="K28" s="89"/>
      <c r="R28" s="89" t="s">
        <v>34</v>
      </c>
      <c r="S28" s="89"/>
      <c r="T28" s="89"/>
      <c r="U28" s="89"/>
      <c r="Z28" s="4"/>
      <c r="AA28" s="1" t="s">
        <v>16</v>
      </c>
      <c r="AB28" s="41"/>
      <c r="AC28" s="2"/>
      <c r="AD28" s="38"/>
      <c r="AE28" s="4"/>
    </row>
    <row r="29" spans="2:31" ht="15.75" x14ac:dyDescent="0.25">
      <c r="U29" s="3"/>
      <c r="Z29" s="38"/>
      <c r="AA29" s="24" t="s">
        <v>17</v>
      </c>
      <c r="AB29" s="42"/>
      <c r="AC29" s="6"/>
      <c r="AD29" s="38"/>
      <c r="AE29" s="3"/>
    </row>
    <row r="30" spans="2:31" ht="15.75" x14ac:dyDescent="0.25">
      <c r="U30" s="3"/>
      <c r="Z30" s="38"/>
      <c r="AA30" s="24" t="s">
        <v>18</v>
      </c>
      <c r="AB30" s="42"/>
      <c r="AC30" s="6"/>
      <c r="AD30" s="38"/>
      <c r="AE30" s="3"/>
    </row>
    <row r="31" spans="2:31" ht="15.75" x14ac:dyDescent="0.25">
      <c r="B31" s="90"/>
      <c r="C31" s="90"/>
      <c r="D31" s="90"/>
      <c r="E31" s="25"/>
      <c r="F31" s="25"/>
      <c r="G31" s="25"/>
      <c r="H31" s="90"/>
      <c r="I31" s="90"/>
      <c r="J31" s="90"/>
      <c r="K31" s="90"/>
      <c r="L31" s="90"/>
      <c r="M31" s="90"/>
      <c r="N31" s="90"/>
      <c r="O31" s="26"/>
      <c r="P31" s="26"/>
      <c r="Q31" s="26"/>
      <c r="R31" s="90"/>
      <c r="S31" s="90"/>
      <c r="T31" s="90"/>
      <c r="U31" s="90"/>
      <c r="V31" s="90"/>
      <c r="W31" s="90"/>
      <c r="X31" s="90"/>
      <c r="Z31" s="38"/>
      <c r="AA31" s="24" t="s">
        <v>19</v>
      </c>
      <c r="AB31" s="42"/>
      <c r="AC31" s="6"/>
      <c r="AD31" s="38"/>
      <c r="AE31" s="3"/>
    </row>
    <row r="32" spans="2:31" ht="15.75" customHeight="1" x14ac:dyDescent="0.25">
      <c r="B32" s="92" t="s">
        <v>29</v>
      </c>
      <c r="C32" s="92"/>
      <c r="D32" s="92"/>
      <c r="H32" s="91" t="s">
        <v>30</v>
      </c>
      <c r="I32" s="91"/>
      <c r="J32" s="91"/>
      <c r="K32" s="91"/>
      <c r="L32" s="91"/>
      <c r="M32" s="91"/>
      <c r="N32" s="91"/>
      <c r="O32" s="13"/>
      <c r="P32" s="13"/>
      <c r="Q32" s="13"/>
      <c r="R32" s="91" t="s">
        <v>31</v>
      </c>
      <c r="S32" s="91"/>
      <c r="T32" s="91"/>
      <c r="U32" s="91"/>
      <c r="V32" s="91"/>
      <c r="W32" s="91"/>
      <c r="X32" s="91"/>
      <c r="Z32" s="38"/>
      <c r="AA32" s="24" t="s">
        <v>20</v>
      </c>
      <c r="AB32" s="7"/>
      <c r="AC32" s="38"/>
      <c r="AD32" s="38"/>
      <c r="AE32" s="3"/>
    </row>
    <row r="33" spans="2:31" ht="15.75" x14ac:dyDescent="0.25">
      <c r="U33" s="3"/>
      <c r="Z33" s="38"/>
      <c r="AA33" s="24" t="s">
        <v>21</v>
      </c>
      <c r="AB33" s="42"/>
      <c r="AC33" s="6"/>
      <c r="AD33" s="38"/>
      <c r="AE33" s="3"/>
    </row>
    <row r="34" spans="2:31" ht="15.75" x14ac:dyDescent="0.25">
      <c r="U34" s="3"/>
      <c r="Z34" s="38"/>
      <c r="AA34" s="24" t="s">
        <v>22</v>
      </c>
      <c r="AB34" s="42"/>
      <c r="AC34" s="6"/>
      <c r="AD34" s="38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 x14ac:dyDescent="0.25">
      <c r="U39" s="3"/>
      <c r="Z39" s="39"/>
      <c r="AA39" s="40" t="s">
        <v>27</v>
      </c>
      <c r="AB39" s="43"/>
      <c r="AC39" s="39"/>
      <c r="AD39" s="39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 x14ac:dyDescent="0.25">
      <c r="U41" s="8"/>
      <c r="Z41" s="39"/>
      <c r="AD41" s="39"/>
      <c r="AE41" s="9"/>
    </row>
    <row r="52" spans="25:25" x14ac:dyDescent="0.25">
      <c r="Y52" s="37" t="s">
        <v>89</v>
      </c>
    </row>
  </sheetData>
  <sheetProtection insertRows="0"/>
  <mergeCells count="29"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  <mergeCell ref="AD13:AD14"/>
    <mergeCell ref="AE12:AE14"/>
    <mergeCell ref="F12:F14"/>
    <mergeCell ref="G12:G14"/>
    <mergeCell ref="X13:X14"/>
    <mergeCell ref="Y13:Y14"/>
    <mergeCell ref="Z13:Z14"/>
    <mergeCell ref="B12:B14"/>
    <mergeCell ref="E26:F26"/>
    <mergeCell ref="AA13:AA14"/>
    <mergeCell ref="AB13:AB14"/>
    <mergeCell ref="AC13:AC14"/>
    <mergeCell ref="E12:E14"/>
  </mergeCells>
  <conditionalFormatting sqref="C15:AE25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25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BSOP 09-16-30-25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2025-11-20T01:00:42Z</dcterms:modified>
</cp:coreProperties>
</file>