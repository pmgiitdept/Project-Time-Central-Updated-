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MGIAAA4\Downloads\"/>
    </mc:Choice>
  </mc:AlternateContent>
  <xr:revisionPtr revIDLastSave="0" documentId="13_ncr:1_{EFD14BE1-DCAC-43E0-A5F2-48853959AA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CT.01-15 2025" sheetId="1" r:id="rId1"/>
    <sheet name="OCT 16-31 2025 (2)" sheetId="4" r:id="rId2"/>
    <sheet name="NOV 01-15 2025 (3)" sheetId="5" r:id="rId3"/>
    <sheet name="NOV.16-30 2025" sheetId="6" r:id="rId4"/>
    <sheet name="DEC.01-15 2025 (2)" sheetId="7" r:id="rId5"/>
    <sheet name="DEC.16-31 2025 (3)" sheetId="8" r:id="rId6"/>
    <sheet name="Sheet3" sheetId="3" state="hidden" r:id="rId7"/>
  </sheets>
  <definedNames>
    <definedName name="_xlnm.Print_Area" localSheetId="4">'DEC.01-15 2025 (2)'!$A$1:$AE$60</definedName>
    <definedName name="_xlnm.Print_Area" localSheetId="5">'DEC.16-31 2025 (3)'!$A$1:$AE$60</definedName>
    <definedName name="_xlnm.Print_Area" localSheetId="2">'NOV 01-15 2025 (3)'!$A$1:$AE$60</definedName>
    <definedName name="_xlnm.Print_Area" localSheetId="3">'NOV.16-30 2025'!$A$1:$AE$60</definedName>
    <definedName name="_xlnm.Print_Area" localSheetId="1">'OCT 16-31 2025 (2)'!$A$1:$AE$60</definedName>
    <definedName name="_xlnm.Print_Area" localSheetId="0">'OCT.01-15 2025'!$A$1:$AE$60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7" i="4" l="1"/>
  <c r="S47" i="4"/>
  <c r="T47" i="4"/>
  <c r="U47" i="4"/>
  <c r="V47" i="4"/>
  <c r="W47" i="4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R47" i="1"/>
  <c r="S47" i="1"/>
  <c r="T47" i="1"/>
  <c r="U47" i="1"/>
  <c r="V47" i="1"/>
  <c r="W47" i="1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AE47" i="8"/>
  <c r="AC47" i="8"/>
  <c r="Z47" i="8"/>
  <c r="H47" i="8"/>
  <c r="AD46" i="8"/>
  <c r="AB46" i="8"/>
  <c r="X46" i="8" a="1"/>
  <c r="X46" i="8" s="1"/>
  <c r="Y46" i="8" s="1"/>
  <c r="B46" i="8"/>
  <c r="AD45" i="8"/>
  <c r="AB45" i="8"/>
  <c r="X45" i="8" a="1"/>
  <c r="X45" i="8" s="1"/>
  <c r="Y45" i="8" s="1"/>
  <c r="B45" i="8"/>
  <c r="AD44" i="8"/>
  <c r="AB44" i="8"/>
  <c r="X44" i="8" a="1"/>
  <c r="X44" i="8" s="1"/>
  <c r="Y44" i="8" s="1"/>
  <c r="B44" i="8"/>
  <c r="AD43" i="8"/>
  <c r="AB43" i="8"/>
  <c r="X43" i="8" a="1"/>
  <c r="X43" i="8" s="1"/>
  <c r="Y43" i="8" s="1"/>
  <c r="B43" i="8"/>
  <c r="AD42" i="8"/>
  <c r="AB42" i="8"/>
  <c r="X42" i="8" a="1"/>
  <c r="X42" i="8" s="1"/>
  <c r="Y42" i="8" s="1"/>
  <c r="B42" i="8"/>
  <c r="AD41" i="8"/>
  <c r="AB41" i="8"/>
  <c r="X41" i="8" a="1"/>
  <c r="X41" i="8" s="1"/>
  <c r="Y41" i="8" s="1"/>
  <c r="B41" i="8"/>
  <c r="AD40" i="8"/>
  <c r="AB40" i="8"/>
  <c r="X40" i="8" a="1"/>
  <c r="X40" i="8" s="1"/>
  <c r="Y40" i="8" s="1"/>
  <c r="B40" i="8"/>
  <c r="AD39" i="8"/>
  <c r="AB39" i="8"/>
  <c r="X39" i="8" a="1"/>
  <c r="X39" i="8" s="1"/>
  <c r="Y39" i="8" s="1"/>
  <c r="B39" i="8"/>
  <c r="AD38" i="8"/>
  <c r="AB38" i="8"/>
  <c r="X38" i="8" a="1"/>
  <c r="X38" i="8" s="1"/>
  <c r="Y38" i="8" s="1"/>
  <c r="B38" i="8"/>
  <c r="AD37" i="8"/>
  <c r="AB37" i="8"/>
  <c r="X37" i="8" a="1"/>
  <c r="X37" i="8" s="1"/>
  <c r="Y37" i="8" s="1"/>
  <c r="B37" i="8"/>
  <c r="AD36" i="8"/>
  <c r="AB36" i="8"/>
  <c r="X36" i="8" a="1"/>
  <c r="X36" i="8" s="1"/>
  <c r="Y36" i="8" s="1"/>
  <c r="B36" i="8"/>
  <c r="AD35" i="8"/>
  <c r="AB35" i="8"/>
  <c r="X35" i="8" a="1"/>
  <c r="X35" i="8" s="1"/>
  <c r="Y35" i="8" s="1"/>
  <c r="B35" i="8"/>
  <c r="AD34" i="8"/>
  <c r="AB34" i="8"/>
  <c r="X34" i="8" a="1"/>
  <c r="X34" i="8" s="1"/>
  <c r="Y34" i="8" s="1"/>
  <c r="B34" i="8"/>
  <c r="AD33" i="8"/>
  <c r="AB33" i="8"/>
  <c r="X33" i="8" a="1"/>
  <c r="X33" i="8" s="1"/>
  <c r="Y33" i="8" s="1"/>
  <c r="B33" i="8"/>
  <c r="AD32" i="8"/>
  <c r="AB32" i="8"/>
  <c r="X32" i="8" a="1"/>
  <c r="X32" i="8" s="1"/>
  <c r="Y32" i="8" s="1"/>
  <c r="B32" i="8"/>
  <c r="AD31" i="8"/>
  <c r="AB31" i="8"/>
  <c r="X31" i="8" a="1"/>
  <c r="X31" i="8" s="1"/>
  <c r="Y31" i="8" s="1"/>
  <c r="B31" i="8"/>
  <c r="AD30" i="8"/>
  <c r="AB30" i="8"/>
  <c r="X30" i="8" a="1"/>
  <c r="X30" i="8" s="1"/>
  <c r="Y30" i="8" s="1"/>
  <c r="B30" i="8"/>
  <c r="AD29" i="8"/>
  <c r="AB29" i="8"/>
  <c r="X29" i="8" a="1"/>
  <c r="X29" i="8" s="1"/>
  <c r="Y29" i="8" s="1"/>
  <c r="B29" i="8"/>
  <c r="AD28" i="8"/>
  <c r="AB28" i="8"/>
  <c r="X28" i="8" a="1"/>
  <c r="X28" i="8" s="1"/>
  <c r="Y28" i="8" s="1"/>
  <c r="B28" i="8"/>
  <c r="AD27" i="8"/>
  <c r="AB27" i="8"/>
  <c r="X27" i="8" a="1"/>
  <c r="X27" i="8" s="1"/>
  <c r="Y27" i="8" s="1"/>
  <c r="B27" i="8"/>
  <c r="AD26" i="8"/>
  <c r="AB26" i="8"/>
  <c r="X26" i="8" a="1"/>
  <c r="X26" i="8" s="1"/>
  <c r="Y26" i="8" s="1"/>
  <c r="B26" i="8"/>
  <c r="AD25" i="8"/>
  <c r="AB25" i="8"/>
  <c r="X25" i="8" a="1"/>
  <c r="X25" i="8" s="1"/>
  <c r="Y25" i="8" s="1"/>
  <c r="B25" i="8"/>
  <c r="AD24" i="8"/>
  <c r="AB24" i="8"/>
  <c r="X24" i="8" a="1"/>
  <c r="X24" i="8" s="1"/>
  <c r="Y24" i="8" s="1"/>
  <c r="B24" i="8"/>
  <c r="AD23" i="8"/>
  <c r="AB23" i="8"/>
  <c r="X23" i="8" a="1"/>
  <c r="X23" i="8" s="1"/>
  <c r="Y23" i="8" s="1"/>
  <c r="B23" i="8"/>
  <c r="AD22" i="8"/>
  <c r="AB22" i="8"/>
  <c r="X22" i="8" a="1"/>
  <c r="X22" i="8" s="1"/>
  <c r="Y22" i="8" s="1"/>
  <c r="B22" i="8"/>
  <c r="AD21" i="8"/>
  <c r="AB21" i="8"/>
  <c r="X21" i="8" a="1"/>
  <c r="X21" i="8" s="1"/>
  <c r="Y21" i="8" s="1"/>
  <c r="B21" i="8"/>
  <c r="AD20" i="8"/>
  <c r="AB20" i="8"/>
  <c r="X20" i="8" a="1"/>
  <c r="X20" i="8" s="1"/>
  <c r="Y20" i="8" s="1"/>
  <c r="B20" i="8"/>
  <c r="AD19" i="8"/>
  <c r="AB19" i="8"/>
  <c r="X19" i="8" a="1"/>
  <c r="X19" i="8" s="1"/>
  <c r="Y19" i="8" s="1"/>
  <c r="B19" i="8"/>
  <c r="AD18" i="8"/>
  <c r="X18" i="8" a="1"/>
  <c r="X18" i="8" s="1"/>
  <c r="Y18" i="8" s="1"/>
  <c r="B18" i="8"/>
  <c r="AD17" i="8"/>
  <c r="X17" i="8"/>
  <c r="Y17" i="8" s="1"/>
  <c r="X17" i="8" a="1"/>
  <c r="B17" i="8"/>
  <c r="AD16" i="8"/>
  <c r="X16" i="8" a="1"/>
  <c r="X16" i="8" s="1"/>
  <c r="Y16" i="8" s="1"/>
  <c r="B16" i="8"/>
  <c r="AD15" i="8"/>
  <c r="X15" i="8" a="1"/>
  <c r="X15" i="8" s="1"/>
  <c r="B15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AE47" i="7"/>
  <c r="AC47" i="7"/>
  <c r="Z47" i="7"/>
  <c r="H47" i="7"/>
  <c r="AD46" i="7"/>
  <c r="AB46" i="7"/>
  <c r="X46" i="7" a="1"/>
  <c r="X46" i="7" s="1"/>
  <c r="Y46" i="7" s="1"/>
  <c r="B46" i="7"/>
  <c r="AD45" i="7"/>
  <c r="AB45" i="7"/>
  <c r="X45" i="7" a="1"/>
  <c r="X45" i="7" s="1"/>
  <c r="Y45" i="7" s="1"/>
  <c r="AA45" i="7" s="1"/>
  <c r="B45" i="7"/>
  <c r="AD44" i="7"/>
  <c r="AB44" i="7"/>
  <c r="X44" i="7"/>
  <c r="Y44" i="7" s="1"/>
  <c r="X44" i="7" a="1"/>
  <c r="B44" i="7"/>
  <c r="AD43" i="7"/>
  <c r="AB43" i="7"/>
  <c r="X43" i="7" a="1"/>
  <c r="X43" i="7" s="1"/>
  <c r="Y43" i="7" s="1"/>
  <c r="B43" i="7"/>
  <c r="AD42" i="7"/>
  <c r="AB42" i="7"/>
  <c r="X42" i="7" a="1"/>
  <c r="X42" i="7" s="1"/>
  <c r="Y42" i="7" s="1"/>
  <c r="AA42" i="7" s="1"/>
  <c r="B42" i="7"/>
  <c r="AD41" i="7"/>
  <c r="AB41" i="7"/>
  <c r="X41" i="7" a="1"/>
  <c r="X41" i="7" s="1"/>
  <c r="Y41" i="7" s="1"/>
  <c r="AA41" i="7" s="1"/>
  <c r="B41" i="7"/>
  <c r="AD40" i="7"/>
  <c r="AB40" i="7"/>
  <c r="X40" i="7" a="1"/>
  <c r="X40" i="7" s="1"/>
  <c r="Y40" i="7" s="1"/>
  <c r="B40" i="7"/>
  <c r="AD39" i="7"/>
  <c r="AB39" i="7"/>
  <c r="AA39" i="7" s="1"/>
  <c r="X39" i="7" a="1"/>
  <c r="X39" i="7" s="1"/>
  <c r="Y39" i="7" s="1"/>
  <c r="B39" i="7"/>
  <c r="AD38" i="7"/>
  <c r="AB38" i="7"/>
  <c r="X38" i="7" a="1"/>
  <c r="X38" i="7" s="1"/>
  <c r="Y38" i="7" s="1"/>
  <c r="AA38" i="7" s="1"/>
  <c r="B38" i="7"/>
  <c r="AD37" i="7"/>
  <c r="AB37" i="7"/>
  <c r="X37" i="7" a="1"/>
  <c r="X37" i="7" s="1"/>
  <c r="Y37" i="7" s="1"/>
  <c r="AA37" i="7" s="1"/>
  <c r="B37" i="7"/>
  <c r="AD36" i="7"/>
  <c r="AB36" i="7"/>
  <c r="X36" i="7" a="1"/>
  <c r="X36" i="7" s="1"/>
  <c r="Y36" i="7" s="1"/>
  <c r="B36" i="7"/>
  <c r="AD35" i="7"/>
  <c r="AB35" i="7"/>
  <c r="X35" i="7" a="1"/>
  <c r="X35" i="7" s="1"/>
  <c r="Y35" i="7" s="1"/>
  <c r="B35" i="7"/>
  <c r="AD34" i="7"/>
  <c r="AB34" i="7"/>
  <c r="X34" i="7" a="1"/>
  <c r="X34" i="7" s="1"/>
  <c r="Y34" i="7" s="1"/>
  <c r="B34" i="7"/>
  <c r="AD33" i="7"/>
  <c r="AB33" i="7"/>
  <c r="X33" i="7" a="1"/>
  <c r="X33" i="7" s="1"/>
  <c r="Y33" i="7" s="1"/>
  <c r="B33" i="7"/>
  <c r="AD32" i="7"/>
  <c r="AB32" i="7"/>
  <c r="X32" i="7"/>
  <c r="Y32" i="7" s="1"/>
  <c r="X32" i="7" a="1"/>
  <c r="B32" i="7"/>
  <c r="AD31" i="7"/>
  <c r="AB31" i="7"/>
  <c r="X31" i="7" a="1"/>
  <c r="X31" i="7" s="1"/>
  <c r="Y31" i="7" s="1"/>
  <c r="B31" i="7"/>
  <c r="AD30" i="7"/>
  <c r="AB30" i="7"/>
  <c r="X30" i="7" a="1"/>
  <c r="X30" i="7" s="1"/>
  <c r="Y30" i="7" s="1"/>
  <c r="B30" i="7"/>
  <c r="AD29" i="7"/>
  <c r="AB29" i="7"/>
  <c r="X29" i="7" a="1"/>
  <c r="X29" i="7" s="1"/>
  <c r="Y29" i="7" s="1"/>
  <c r="B29" i="7"/>
  <c r="AD28" i="7"/>
  <c r="AB28" i="7"/>
  <c r="X28" i="7" a="1"/>
  <c r="X28" i="7" s="1"/>
  <c r="Y28" i="7" s="1"/>
  <c r="B28" i="7"/>
  <c r="AD27" i="7"/>
  <c r="AB27" i="7"/>
  <c r="X27" i="7" a="1"/>
  <c r="X27" i="7" s="1"/>
  <c r="Y27" i="7" s="1"/>
  <c r="B27" i="7"/>
  <c r="AD26" i="7"/>
  <c r="AB26" i="7"/>
  <c r="X26" i="7" a="1"/>
  <c r="X26" i="7" s="1"/>
  <c r="Y26" i="7" s="1"/>
  <c r="B26" i="7"/>
  <c r="AD25" i="7"/>
  <c r="AB25" i="7"/>
  <c r="X25" i="7" a="1"/>
  <c r="X25" i="7" s="1"/>
  <c r="Y25" i="7" s="1"/>
  <c r="B25" i="7"/>
  <c r="AD24" i="7"/>
  <c r="AB24" i="7"/>
  <c r="X24" i="7" a="1"/>
  <c r="X24" i="7" s="1"/>
  <c r="Y24" i="7" s="1"/>
  <c r="B24" i="7"/>
  <c r="AD23" i="7"/>
  <c r="AB23" i="7"/>
  <c r="X23" i="7" a="1"/>
  <c r="X23" i="7" s="1"/>
  <c r="Y23" i="7" s="1"/>
  <c r="B23" i="7"/>
  <c r="AD22" i="7"/>
  <c r="AB22" i="7"/>
  <c r="X22" i="7" a="1"/>
  <c r="X22" i="7" s="1"/>
  <c r="Y22" i="7" s="1"/>
  <c r="B22" i="7"/>
  <c r="AD21" i="7"/>
  <c r="AB21" i="7"/>
  <c r="X21" i="7" a="1"/>
  <c r="X21" i="7" s="1"/>
  <c r="Y21" i="7" s="1"/>
  <c r="B21" i="7"/>
  <c r="AD20" i="7"/>
  <c r="AB20" i="7"/>
  <c r="X20" i="7"/>
  <c r="Y20" i="7" s="1"/>
  <c r="X20" i="7" a="1"/>
  <c r="B20" i="7"/>
  <c r="AD19" i="7"/>
  <c r="AB19" i="7"/>
  <c r="X19" i="7" a="1"/>
  <c r="X19" i="7" s="1"/>
  <c r="Y19" i="7" s="1"/>
  <c r="B19" i="7"/>
  <c r="AD18" i="7"/>
  <c r="X18" i="7" a="1"/>
  <c r="X18" i="7" s="1"/>
  <c r="Y18" i="7" s="1"/>
  <c r="B18" i="7"/>
  <c r="AD17" i="7"/>
  <c r="X17" i="7" a="1"/>
  <c r="X17" i="7" s="1"/>
  <c r="Y17" i="7" s="1"/>
  <c r="B17" i="7"/>
  <c r="AD16" i="7"/>
  <c r="X16" i="7" a="1"/>
  <c r="X16" i="7" s="1"/>
  <c r="Y16" i="7" s="1"/>
  <c r="B16" i="7"/>
  <c r="AD15" i="7"/>
  <c r="X15" i="7" a="1"/>
  <c r="X15" i="7" s="1"/>
  <c r="B15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AE47" i="6"/>
  <c r="AC47" i="6"/>
  <c r="Z47" i="6"/>
  <c r="W47" i="6"/>
  <c r="H47" i="6"/>
  <c r="AD46" i="6"/>
  <c r="AB46" i="6"/>
  <c r="X46" i="6" a="1"/>
  <c r="X46" i="6" s="1"/>
  <c r="Y46" i="6" s="1"/>
  <c r="B46" i="6"/>
  <c r="AD45" i="6"/>
  <c r="AB45" i="6"/>
  <c r="X45" i="6"/>
  <c r="Y45" i="6" s="1"/>
  <c r="X45" i="6" a="1"/>
  <c r="B45" i="6"/>
  <c r="AD44" i="6"/>
  <c r="AB44" i="6"/>
  <c r="X44" i="6" a="1"/>
  <c r="X44" i="6" s="1"/>
  <c r="Y44" i="6" s="1"/>
  <c r="B44" i="6"/>
  <c r="AD43" i="6"/>
  <c r="AB43" i="6"/>
  <c r="X43" i="6" a="1"/>
  <c r="X43" i="6" s="1"/>
  <c r="Y43" i="6" s="1"/>
  <c r="B43" i="6"/>
  <c r="AD42" i="6"/>
  <c r="AB42" i="6"/>
  <c r="X42" i="6" a="1"/>
  <c r="X42" i="6" s="1"/>
  <c r="Y42" i="6" s="1"/>
  <c r="B42" i="6"/>
  <c r="AD41" i="6"/>
  <c r="AB41" i="6"/>
  <c r="X41" i="6"/>
  <c r="Y41" i="6" s="1"/>
  <c r="X41" i="6" a="1"/>
  <c r="B41" i="6"/>
  <c r="AD40" i="6"/>
  <c r="AB40" i="6"/>
  <c r="X40" i="6" a="1"/>
  <c r="X40" i="6" s="1"/>
  <c r="Y40" i="6" s="1"/>
  <c r="B40" i="6"/>
  <c r="AD39" i="6"/>
  <c r="AB39" i="6"/>
  <c r="X39" i="6" a="1"/>
  <c r="X39" i="6" s="1"/>
  <c r="Y39" i="6" s="1"/>
  <c r="B39" i="6"/>
  <c r="AD38" i="6"/>
  <c r="AB38" i="6"/>
  <c r="X38" i="6" a="1"/>
  <c r="X38" i="6" s="1"/>
  <c r="Y38" i="6" s="1"/>
  <c r="B38" i="6"/>
  <c r="AD37" i="6"/>
  <c r="AB37" i="6"/>
  <c r="X37" i="6" a="1"/>
  <c r="X37" i="6" s="1"/>
  <c r="Y37" i="6" s="1"/>
  <c r="B37" i="6"/>
  <c r="AD36" i="6"/>
  <c r="AB36" i="6"/>
  <c r="X36" i="6" a="1"/>
  <c r="X36" i="6" s="1"/>
  <c r="Y36" i="6" s="1"/>
  <c r="B36" i="6"/>
  <c r="AD35" i="6"/>
  <c r="AB35" i="6"/>
  <c r="X35" i="6" a="1"/>
  <c r="X35" i="6" s="1"/>
  <c r="Y35" i="6" s="1"/>
  <c r="B35" i="6"/>
  <c r="AD34" i="6"/>
  <c r="AB34" i="6"/>
  <c r="X34" i="6" a="1"/>
  <c r="X34" i="6" s="1"/>
  <c r="Y34" i="6" s="1"/>
  <c r="B34" i="6"/>
  <c r="AD33" i="6"/>
  <c r="AB33" i="6"/>
  <c r="X33" i="6"/>
  <c r="Y33" i="6" s="1"/>
  <c r="X33" i="6" a="1"/>
  <c r="B33" i="6"/>
  <c r="AD32" i="6"/>
  <c r="AB32" i="6"/>
  <c r="X32" i="6" a="1"/>
  <c r="X32" i="6" s="1"/>
  <c r="Y32" i="6" s="1"/>
  <c r="B32" i="6"/>
  <c r="AD31" i="6"/>
  <c r="AB31" i="6"/>
  <c r="X31" i="6" a="1"/>
  <c r="X31" i="6" s="1"/>
  <c r="Y31" i="6" s="1"/>
  <c r="B31" i="6"/>
  <c r="AD30" i="6"/>
  <c r="AB30" i="6"/>
  <c r="X30" i="6" a="1"/>
  <c r="X30" i="6" s="1"/>
  <c r="Y30" i="6" s="1"/>
  <c r="B30" i="6"/>
  <c r="AD29" i="6"/>
  <c r="AB29" i="6"/>
  <c r="X29" i="6"/>
  <c r="Y29" i="6" s="1"/>
  <c r="X29" i="6" a="1"/>
  <c r="B29" i="6"/>
  <c r="AD28" i="6"/>
  <c r="AB28" i="6"/>
  <c r="X28" i="6" a="1"/>
  <c r="X28" i="6" s="1"/>
  <c r="Y28" i="6" s="1"/>
  <c r="B28" i="6"/>
  <c r="AD27" i="6"/>
  <c r="AB27" i="6"/>
  <c r="X27" i="6" a="1"/>
  <c r="X27" i="6" s="1"/>
  <c r="Y27" i="6" s="1"/>
  <c r="B27" i="6"/>
  <c r="AD26" i="6"/>
  <c r="AB26" i="6"/>
  <c r="X26" i="6" a="1"/>
  <c r="X26" i="6" s="1"/>
  <c r="Y26" i="6" s="1"/>
  <c r="B26" i="6"/>
  <c r="AD25" i="6"/>
  <c r="AB25" i="6"/>
  <c r="X25" i="6" a="1"/>
  <c r="X25" i="6" s="1"/>
  <c r="Y25" i="6" s="1"/>
  <c r="B25" i="6"/>
  <c r="AD24" i="6"/>
  <c r="AB24" i="6"/>
  <c r="X24" i="6" a="1"/>
  <c r="X24" i="6" s="1"/>
  <c r="Y24" i="6" s="1"/>
  <c r="B24" i="6"/>
  <c r="AD23" i="6"/>
  <c r="AB23" i="6"/>
  <c r="X23" i="6" a="1"/>
  <c r="X23" i="6" s="1"/>
  <c r="Y23" i="6" s="1"/>
  <c r="B23" i="6"/>
  <c r="AD22" i="6"/>
  <c r="AB22" i="6"/>
  <c r="X22" i="6" a="1"/>
  <c r="X22" i="6" s="1"/>
  <c r="Y22" i="6" s="1"/>
  <c r="B22" i="6"/>
  <c r="AD21" i="6"/>
  <c r="AB21" i="6"/>
  <c r="X21" i="6" a="1"/>
  <c r="X21" i="6" s="1"/>
  <c r="Y21" i="6" s="1"/>
  <c r="B21" i="6"/>
  <c r="AD20" i="6"/>
  <c r="AB20" i="6"/>
  <c r="X20" i="6" a="1"/>
  <c r="X20" i="6" s="1"/>
  <c r="Y20" i="6" s="1"/>
  <c r="B20" i="6"/>
  <c r="AD19" i="6"/>
  <c r="AB19" i="6"/>
  <c r="X19" i="6" a="1"/>
  <c r="X19" i="6" s="1"/>
  <c r="Y19" i="6" s="1"/>
  <c r="B19" i="6"/>
  <c r="AD18" i="6"/>
  <c r="X18" i="6" a="1"/>
  <c r="X18" i="6" s="1"/>
  <c r="Y18" i="6" s="1"/>
  <c r="B18" i="6"/>
  <c r="AD17" i="6"/>
  <c r="X17" i="6" a="1"/>
  <c r="X17" i="6" s="1"/>
  <c r="Y17" i="6" s="1"/>
  <c r="B17" i="6"/>
  <c r="AD16" i="6"/>
  <c r="X16" i="6" a="1"/>
  <c r="X16" i="6" s="1"/>
  <c r="Y16" i="6" s="1"/>
  <c r="B16" i="6"/>
  <c r="AD15" i="6"/>
  <c r="X15" i="6" a="1"/>
  <c r="X15" i="6" s="1"/>
  <c r="B15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AE47" i="5"/>
  <c r="AC47" i="5"/>
  <c r="Z47" i="5"/>
  <c r="H47" i="5"/>
  <c r="AD46" i="5"/>
  <c r="AB46" i="5"/>
  <c r="X46" i="5" a="1"/>
  <c r="X46" i="5" s="1"/>
  <c r="Y46" i="5" s="1"/>
  <c r="B46" i="5"/>
  <c r="AD45" i="5"/>
  <c r="AB45" i="5"/>
  <c r="X45" i="5"/>
  <c r="Y45" i="5" s="1"/>
  <c r="X45" i="5" a="1"/>
  <c r="B45" i="5"/>
  <c r="AD44" i="5"/>
  <c r="AB44" i="5"/>
  <c r="X44" i="5" a="1"/>
  <c r="X44" i="5" s="1"/>
  <c r="Y44" i="5" s="1"/>
  <c r="B44" i="5"/>
  <c r="AD43" i="5"/>
  <c r="AB43" i="5"/>
  <c r="X43" i="5" a="1"/>
  <c r="X43" i="5" s="1"/>
  <c r="Y43" i="5" s="1"/>
  <c r="B43" i="5"/>
  <c r="AD42" i="5"/>
  <c r="AB42" i="5"/>
  <c r="X42" i="5" a="1"/>
  <c r="X42" i="5" s="1"/>
  <c r="Y42" i="5" s="1"/>
  <c r="B42" i="5"/>
  <c r="AD41" i="5"/>
  <c r="AB41" i="5"/>
  <c r="X41" i="5" a="1"/>
  <c r="X41" i="5" s="1"/>
  <c r="Y41" i="5" s="1"/>
  <c r="B41" i="5"/>
  <c r="AD40" i="5"/>
  <c r="AB40" i="5"/>
  <c r="X40" i="5" a="1"/>
  <c r="X40" i="5" s="1"/>
  <c r="Y40" i="5" s="1"/>
  <c r="B40" i="5"/>
  <c r="AD39" i="5"/>
  <c r="AB39" i="5"/>
  <c r="X39" i="5" a="1"/>
  <c r="X39" i="5" s="1"/>
  <c r="Y39" i="5" s="1"/>
  <c r="B39" i="5"/>
  <c r="AD38" i="5"/>
  <c r="AB38" i="5"/>
  <c r="X38" i="5" a="1"/>
  <c r="X38" i="5" s="1"/>
  <c r="Y38" i="5" s="1"/>
  <c r="B38" i="5"/>
  <c r="AD37" i="5"/>
  <c r="AB37" i="5"/>
  <c r="X37" i="5"/>
  <c r="Y37" i="5" s="1"/>
  <c r="X37" i="5" a="1"/>
  <c r="B37" i="5"/>
  <c r="AD36" i="5"/>
  <c r="AB36" i="5"/>
  <c r="X36" i="5" a="1"/>
  <c r="X36" i="5" s="1"/>
  <c r="Y36" i="5" s="1"/>
  <c r="B36" i="5"/>
  <c r="AD35" i="5"/>
  <c r="AB35" i="5"/>
  <c r="X35" i="5" a="1"/>
  <c r="X35" i="5" s="1"/>
  <c r="Y35" i="5" s="1"/>
  <c r="B35" i="5"/>
  <c r="AD34" i="5"/>
  <c r="AB34" i="5"/>
  <c r="X34" i="5" a="1"/>
  <c r="X34" i="5" s="1"/>
  <c r="Y34" i="5" s="1"/>
  <c r="B34" i="5"/>
  <c r="AD33" i="5"/>
  <c r="AB33" i="5"/>
  <c r="X33" i="5" a="1"/>
  <c r="X33" i="5" s="1"/>
  <c r="Y33" i="5" s="1"/>
  <c r="B33" i="5"/>
  <c r="AD32" i="5"/>
  <c r="AB32" i="5"/>
  <c r="X32" i="5" a="1"/>
  <c r="X32" i="5" s="1"/>
  <c r="Y32" i="5" s="1"/>
  <c r="B32" i="5"/>
  <c r="AD31" i="5"/>
  <c r="AB31" i="5"/>
  <c r="X31" i="5" a="1"/>
  <c r="X31" i="5" s="1"/>
  <c r="Y31" i="5" s="1"/>
  <c r="B31" i="5"/>
  <c r="AB30" i="5"/>
  <c r="X30" i="5" a="1"/>
  <c r="X30" i="5" s="1"/>
  <c r="Y30" i="5" s="1"/>
  <c r="AA30" i="5" s="1"/>
  <c r="B30" i="5"/>
  <c r="AD29" i="5"/>
  <c r="AB29" i="5"/>
  <c r="X29" i="5" a="1"/>
  <c r="X29" i="5" s="1"/>
  <c r="Y29" i="5" s="1"/>
  <c r="B29" i="5"/>
  <c r="AD28" i="5"/>
  <c r="AB28" i="5"/>
  <c r="X28" i="5" a="1"/>
  <c r="X28" i="5" s="1"/>
  <c r="Y28" i="5" s="1"/>
  <c r="B28" i="5"/>
  <c r="AD27" i="5"/>
  <c r="AB27" i="5"/>
  <c r="X27" i="5" a="1"/>
  <c r="X27" i="5" s="1"/>
  <c r="Y27" i="5" s="1"/>
  <c r="B27" i="5"/>
  <c r="AD26" i="5"/>
  <c r="AB26" i="5"/>
  <c r="X26" i="5" a="1"/>
  <c r="X26" i="5" s="1"/>
  <c r="Y26" i="5" s="1"/>
  <c r="B26" i="5"/>
  <c r="AD25" i="5"/>
  <c r="AB25" i="5"/>
  <c r="X25" i="5" a="1"/>
  <c r="X25" i="5" s="1"/>
  <c r="Y25" i="5" s="1"/>
  <c r="B25" i="5"/>
  <c r="AD24" i="5"/>
  <c r="AB24" i="5"/>
  <c r="X24" i="5" a="1"/>
  <c r="X24" i="5" s="1"/>
  <c r="Y24" i="5" s="1"/>
  <c r="B24" i="5"/>
  <c r="AD23" i="5"/>
  <c r="AB23" i="5"/>
  <c r="X23" i="5" a="1"/>
  <c r="X23" i="5" s="1"/>
  <c r="Y23" i="5" s="1"/>
  <c r="B23" i="5"/>
  <c r="AD22" i="5"/>
  <c r="AB22" i="5"/>
  <c r="X22" i="5" a="1"/>
  <c r="X22" i="5" s="1"/>
  <c r="Y22" i="5" s="1"/>
  <c r="B22" i="5"/>
  <c r="AD21" i="5"/>
  <c r="AB21" i="5"/>
  <c r="X21" i="5" a="1"/>
  <c r="X21" i="5" s="1"/>
  <c r="Y21" i="5" s="1"/>
  <c r="B21" i="5"/>
  <c r="AD20" i="5"/>
  <c r="AB20" i="5"/>
  <c r="X20" i="5" a="1"/>
  <c r="X20" i="5" s="1"/>
  <c r="Y20" i="5" s="1"/>
  <c r="B20" i="5"/>
  <c r="AD19" i="5"/>
  <c r="AB19" i="5"/>
  <c r="X19" i="5" a="1"/>
  <c r="X19" i="5" s="1"/>
  <c r="Y19" i="5" s="1"/>
  <c r="B19" i="5"/>
  <c r="AD18" i="5"/>
  <c r="X18" i="5" a="1"/>
  <c r="X18" i="5" s="1"/>
  <c r="Y18" i="5" s="1"/>
  <c r="B18" i="5"/>
  <c r="AD17" i="5"/>
  <c r="X17" i="5" a="1"/>
  <c r="X17" i="5" s="1"/>
  <c r="Y17" i="5" s="1"/>
  <c r="B17" i="5"/>
  <c r="AD16" i="5"/>
  <c r="X16" i="5" a="1"/>
  <c r="X16" i="5" s="1"/>
  <c r="Y16" i="5" s="1"/>
  <c r="B16" i="5"/>
  <c r="AD15" i="5"/>
  <c r="X15" i="5" a="1"/>
  <c r="X15" i="5" s="1"/>
  <c r="B15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AA40" i="7" l="1"/>
  <c r="AA46" i="5"/>
  <c r="AA35" i="6"/>
  <c r="AA33" i="7"/>
  <c r="AA19" i="6"/>
  <c r="AA31" i="7"/>
  <c r="AA34" i="7"/>
  <c r="AA31" i="5"/>
  <c r="AA34" i="6"/>
  <c r="AA46" i="7"/>
  <c r="AA31" i="8"/>
  <c r="AA39" i="8"/>
  <c r="AA38" i="8"/>
  <c r="AA46" i="8"/>
  <c r="AA37" i="8"/>
  <c r="AA45" i="8"/>
  <c r="AA34" i="8"/>
  <c r="AA35" i="8"/>
  <c r="AA42" i="8"/>
  <c r="AA43" i="8"/>
  <c r="AA33" i="6"/>
  <c r="AA34" i="5"/>
  <c r="AA35" i="5"/>
  <c r="AA32" i="5"/>
  <c r="AA41" i="5"/>
  <c r="AA38" i="5"/>
  <c r="AA39" i="5"/>
  <c r="AA45" i="5"/>
  <c r="AA16" i="5"/>
  <c r="AA26" i="5"/>
  <c r="AA27" i="5"/>
  <c r="AA42" i="5"/>
  <c r="AA43" i="5"/>
  <c r="AA36" i="6"/>
  <c r="AA38" i="6"/>
  <c r="AA39" i="6"/>
  <c r="AA45" i="6"/>
  <c r="AA42" i="6"/>
  <c r="AA43" i="6"/>
  <c r="AA31" i="6"/>
  <c r="AA46" i="6"/>
  <c r="AA30" i="6"/>
  <c r="AA18" i="7"/>
  <c r="AA27" i="8"/>
  <c r="AA19" i="8"/>
  <c r="AA18" i="8"/>
  <c r="AA17" i="8"/>
  <c r="AA16" i="8"/>
  <c r="AA30" i="8"/>
  <c r="AA29" i="8"/>
  <c r="AA26" i="8"/>
  <c r="AA23" i="8"/>
  <c r="AA22" i="8"/>
  <c r="AA21" i="8"/>
  <c r="AD47" i="8"/>
  <c r="G47" i="8"/>
  <c r="AA23" i="7"/>
  <c r="AA30" i="7"/>
  <c r="AA29" i="7"/>
  <c r="AA26" i="7"/>
  <c r="AA21" i="7"/>
  <c r="AA22" i="7"/>
  <c r="AA25" i="7"/>
  <c r="AA24" i="7"/>
  <c r="AB47" i="7"/>
  <c r="AA16" i="7"/>
  <c r="AD47" i="7"/>
  <c r="G47" i="7"/>
  <c r="AA17" i="6"/>
  <c r="AA22" i="6"/>
  <c r="AA29" i="6"/>
  <c r="AA27" i="6"/>
  <c r="AA26" i="6"/>
  <c r="AA23" i="6"/>
  <c r="AA20" i="6"/>
  <c r="AD47" i="6"/>
  <c r="G47" i="6"/>
  <c r="AA29" i="5"/>
  <c r="AA28" i="5"/>
  <c r="AA25" i="5"/>
  <c r="AA23" i="5"/>
  <c r="AA22" i="5"/>
  <c r="AA19" i="5"/>
  <c r="AA18" i="5"/>
  <c r="AA17" i="5"/>
  <c r="AD47" i="5"/>
  <c r="G47" i="5"/>
  <c r="AA24" i="8"/>
  <c r="AA32" i="8"/>
  <c r="AA40" i="8"/>
  <c r="Y15" i="8"/>
  <c r="X47" i="8"/>
  <c r="AA20" i="8"/>
  <c r="AA25" i="8"/>
  <c r="AA28" i="8"/>
  <c r="AA33" i="8"/>
  <c r="AA36" i="8"/>
  <c r="AA41" i="8"/>
  <c r="AA44" i="8"/>
  <c r="AB47" i="8"/>
  <c r="Y15" i="7"/>
  <c r="Y47" i="7" s="1"/>
  <c r="X47" i="7"/>
  <c r="AA28" i="7"/>
  <c r="AA35" i="7"/>
  <c r="AA44" i="7"/>
  <c r="AA32" i="7"/>
  <c r="AA17" i="7"/>
  <c r="AA20" i="7"/>
  <c r="AA27" i="7"/>
  <c r="AA36" i="7"/>
  <c r="AA43" i="7"/>
  <c r="AA19" i="7"/>
  <c r="AA28" i="6"/>
  <c r="AA37" i="6"/>
  <c r="AA44" i="6"/>
  <c r="Y15" i="6"/>
  <c r="X47" i="6"/>
  <c r="AA18" i="6"/>
  <c r="AA24" i="6"/>
  <c r="AA40" i="6"/>
  <c r="AA16" i="6"/>
  <c r="AA21" i="6"/>
  <c r="AA25" i="6"/>
  <c r="AA32" i="6"/>
  <c r="AA41" i="6"/>
  <c r="AB47" i="6"/>
  <c r="AA20" i="5"/>
  <c r="AA36" i="5"/>
  <c r="AA24" i="5"/>
  <c r="AA33" i="5"/>
  <c r="AA40" i="5"/>
  <c r="Y15" i="5"/>
  <c r="X47" i="5"/>
  <c r="AA21" i="5"/>
  <c r="AA37" i="5"/>
  <c r="AA44" i="5"/>
  <c r="AB47" i="5"/>
  <c r="O47" i="1"/>
  <c r="AA15" i="7" l="1"/>
  <c r="AA47" i="7" s="1"/>
  <c r="Y47" i="8"/>
  <c r="AA15" i="8"/>
  <c r="AA47" i="8" s="1"/>
  <c r="Y47" i="6"/>
  <c r="AA15" i="6"/>
  <c r="AA47" i="6" s="1"/>
  <c r="Y47" i="5"/>
  <c r="AA15" i="5"/>
  <c r="AA47" i="5" s="1"/>
  <c r="AE47" i="4"/>
  <c r="AC47" i="4"/>
  <c r="Z47" i="4"/>
  <c r="R47" i="4"/>
  <c r="Q47" i="4"/>
  <c r="P47" i="4"/>
  <c r="O47" i="4"/>
  <c r="N47" i="4"/>
  <c r="J47" i="4"/>
  <c r="I47" i="4"/>
  <c r="H47" i="4"/>
  <c r="AD46" i="4"/>
  <c r="AB46" i="4"/>
  <c r="X46" i="4" a="1"/>
  <c r="X46" i="4" s="1"/>
  <c r="Y46" i="4" s="1"/>
  <c r="B46" i="4"/>
  <c r="AD45" i="4"/>
  <c r="AB45" i="4"/>
  <c r="X45" i="4" a="1"/>
  <c r="X45" i="4" s="1"/>
  <c r="Y45" i="4" s="1"/>
  <c r="B45" i="4"/>
  <c r="AD44" i="4"/>
  <c r="AB44" i="4"/>
  <c r="X44" i="4" a="1"/>
  <c r="X44" i="4" s="1"/>
  <c r="Y44" i="4" s="1"/>
  <c r="B44" i="4"/>
  <c r="AD43" i="4"/>
  <c r="AB43" i="4"/>
  <c r="X43" i="4" a="1"/>
  <c r="X43" i="4" s="1"/>
  <c r="Y43" i="4" s="1"/>
  <c r="B43" i="4"/>
  <c r="AD42" i="4"/>
  <c r="AB42" i="4"/>
  <c r="X42" i="4" a="1"/>
  <c r="X42" i="4" s="1"/>
  <c r="Y42" i="4" s="1"/>
  <c r="B42" i="4"/>
  <c r="AD41" i="4"/>
  <c r="AB41" i="4"/>
  <c r="X41" i="4" a="1"/>
  <c r="X41" i="4" s="1"/>
  <c r="Y41" i="4" s="1"/>
  <c r="B41" i="4"/>
  <c r="AD40" i="4"/>
  <c r="AB40" i="4"/>
  <c r="X40" i="4" a="1"/>
  <c r="X40" i="4" s="1"/>
  <c r="Y40" i="4" s="1"/>
  <c r="B40" i="4"/>
  <c r="AD39" i="4"/>
  <c r="AB39" i="4"/>
  <c r="X39" i="4" a="1"/>
  <c r="X39" i="4" s="1"/>
  <c r="Y39" i="4" s="1"/>
  <c r="B39" i="4"/>
  <c r="AD38" i="4"/>
  <c r="AB38" i="4"/>
  <c r="X38" i="4" a="1"/>
  <c r="X38" i="4" s="1"/>
  <c r="Y38" i="4" s="1"/>
  <c r="B38" i="4"/>
  <c r="AD37" i="4"/>
  <c r="AB37" i="4"/>
  <c r="X37" i="4" a="1"/>
  <c r="X37" i="4" s="1"/>
  <c r="Y37" i="4" s="1"/>
  <c r="B37" i="4"/>
  <c r="AD36" i="4"/>
  <c r="AB36" i="4"/>
  <c r="X36" i="4" a="1"/>
  <c r="X36" i="4" s="1"/>
  <c r="Y36" i="4" s="1"/>
  <c r="B36" i="4"/>
  <c r="AD35" i="4"/>
  <c r="AB35" i="4"/>
  <c r="X35" i="4" a="1"/>
  <c r="X35" i="4" s="1"/>
  <c r="Y35" i="4" s="1"/>
  <c r="B35" i="4"/>
  <c r="AD34" i="4"/>
  <c r="AB34" i="4"/>
  <c r="X34" i="4" a="1"/>
  <c r="X34" i="4" s="1"/>
  <c r="Y34" i="4" s="1"/>
  <c r="B34" i="4"/>
  <c r="AD33" i="4"/>
  <c r="AB33" i="4"/>
  <c r="X33" i="4" a="1"/>
  <c r="X33" i="4" s="1"/>
  <c r="Y33" i="4" s="1"/>
  <c r="B33" i="4"/>
  <c r="AD32" i="4"/>
  <c r="AB32" i="4"/>
  <c r="X32" i="4" a="1"/>
  <c r="X32" i="4" s="1"/>
  <c r="Y32" i="4" s="1"/>
  <c r="B32" i="4"/>
  <c r="AD31" i="4"/>
  <c r="AB31" i="4"/>
  <c r="X31" i="4" a="1"/>
  <c r="X31" i="4" s="1"/>
  <c r="Y31" i="4" s="1"/>
  <c r="B31" i="4"/>
  <c r="AD30" i="4"/>
  <c r="AB30" i="4"/>
  <c r="X30" i="4" a="1"/>
  <c r="X30" i="4" s="1"/>
  <c r="Y30" i="4" s="1"/>
  <c r="B30" i="4"/>
  <c r="AD29" i="4"/>
  <c r="AB29" i="4"/>
  <c r="X29" i="4" a="1"/>
  <c r="X29" i="4" s="1"/>
  <c r="Y29" i="4" s="1"/>
  <c r="B29" i="4"/>
  <c r="AD28" i="4"/>
  <c r="AB28" i="4"/>
  <c r="X28" i="4" a="1"/>
  <c r="X28" i="4" s="1"/>
  <c r="Y28" i="4" s="1"/>
  <c r="B28" i="4"/>
  <c r="AD27" i="4"/>
  <c r="AB27" i="4"/>
  <c r="X27" i="4" a="1"/>
  <c r="X27" i="4" s="1"/>
  <c r="Y27" i="4" s="1"/>
  <c r="B27" i="4"/>
  <c r="AD26" i="4"/>
  <c r="AB26" i="4"/>
  <c r="X26" i="4" a="1"/>
  <c r="X26" i="4" s="1"/>
  <c r="Y26" i="4" s="1"/>
  <c r="B26" i="4"/>
  <c r="AD25" i="4"/>
  <c r="AB25" i="4"/>
  <c r="X25" i="4" a="1"/>
  <c r="X25" i="4" s="1"/>
  <c r="Y25" i="4" s="1"/>
  <c r="B25" i="4"/>
  <c r="AD24" i="4"/>
  <c r="AB24" i="4"/>
  <c r="X24" i="4" a="1"/>
  <c r="X24" i="4" s="1"/>
  <c r="Y24" i="4" s="1"/>
  <c r="B24" i="4"/>
  <c r="AD23" i="4"/>
  <c r="AB23" i="4"/>
  <c r="X23" i="4" a="1"/>
  <c r="X23" i="4" s="1"/>
  <c r="Y23" i="4" s="1"/>
  <c r="B23" i="4"/>
  <c r="AD22" i="4"/>
  <c r="AB22" i="4"/>
  <c r="X22" i="4" a="1"/>
  <c r="X22" i="4" s="1"/>
  <c r="Y22" i="4" s="1"/>
  <c r="B22" i="4"/>
  <c r="AD21" i="4"/>
  <c r="AB21" i="4"/>
  <c r="X21" i="4" a="1"/>
  <c r="X21" i="4" s="1"/>
  <c r="Y21" i="4" s="1"/>
  <c r="B21" i="4"/>
  <c r="AD20" i="4"/>
  <c r="AB20" i="4"/>
  <c r="X20" i="4" a="1"/>
  <c r="X20" i="4" s="1"/>
  <c r="Y20" i="4" s="1"/>
  <c r="B20" i="4"/>
  <c r="AD19" i="4"/>
  <c r="AB19" i="4"/>
  <c r="X19" i="4" a="1"/>
  <c r="X19" i="4" s="1"/>
  <c r="Y19" i="4" s="1"/>
  <c r="B19" i="4"/>
  <c r="AD18" i="4"/>
  <c r="X18" i="4" a="1"/>
  <c r="X18" i="4" s="1"/>
  <c r="Y18" i="4" s="1"/>
  <c r="B18" i="4"/>
  <c r="AD17" i="4"/>
  <c r="X17" i="4" a="1"/>
  <c r="X17" i="4" s="1"/>
  <c r="Y17" i="4" s="1"/>
  <c r="B17" i="4"/>
  <c r="AD16" i="4"/>
  <c r="X16" i="4" a="1"/>
  <c r="X16" i="4" s="1"/>
  <c r="Y16" i="4" s="1"/>
  <c r="AA16" i="4" s="1"/>
  <c r="B16" i="4"/>
  <c r="AD15" i="4"/>
  <c r="X15" i="4" a="1"/>
  <c r="X15" i="4" s="1"/>
  <c r="B15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AA31" i="4" l="1"/>
  <c r="AA38" i="4"/>
  <c r="AA34" i="4"/>
  <c r="AA35" i="4"/>
  <c r="AA42" i="4"/>
  <c r="AA39" i="4"/>
  <c r="AA46" i="4"/>
  <c r="AA36" i="4"/>
  <c r="AA41" i="4"/>
  <c r="AA45" i="4"/>
  <c r="AA43" i="4"/>
  <c r="AA30" i="4"/>
  <c r="AA27" i="4"/>
  <c r="AA26" i="4"/>
  <c r="AA25" i="4"/>
  <c r="AA23" i="4"/>
  <c r="AA22" i="4"/>
  <c r="AA21" i="4"/>
  <c r="AA19" i="4"/>
  <c r="AA18" i="4"/>
  <c r="AA17" i="4"/>
  <c r="AD47" i="4"/>
  <c r="G47" i="4"/>
  <c r="AA32" i="4"/>
  <c r="AA37" i="4"/>
  <c r="AA28" i="4"/>
  <c r="AA33" i="4"/>
  <c r="AA44" i="4"/>
  <c r="AA20" i="4"/>
  <c r="Y15" i="4"/>
  <c r="X47" i="4"/>
  <c r="AA24" i="4"/>
  <c r="AA29" i="4"/>
  <c r="AA40" i="4"/>
  <c r="AB47" i="4"/>
  <c r="H47" i="1"/>
  <c r="X24" i="1" a="1"/>
  <c r="X24" i="1" s="1"/>
  <c r="Y24" i="1" s="1"/>
  <c r="X16" i="1" a="1"/>
  <c r="X16" i="1" s="1"/>
  <c r="Y16" i="1" s="1"/>
  <c r="X17" i="1" a="1"/>
  <c r="X17" i="1" s="1"/>
  <c r="Y17" i="1" s="1"/>
  <c r="X18" i="1" a="1"/>
  <c r="X18" i="1" s="1"/>
  <c r="Y18" i="1" s="1"/>
  <c r="X19" i="1" a="1"/>
  <c r="X19" i="1" s="1"/>
  <c r="Y19" i="1" s="1"/>
  <c r="X20" i="1" a="1"/>
  <c r="X20" i="1" s="1"/>
  <c r="Y20" i="1" s="1"/>
  <c r="X21" i="1" a="1"/>
  <c r="X21" i="1" s="1"/>
  <c r="Y21" i="1" s="1"/>
  <c r="X22" i="1" a="1"/>
  <c r="X22" i="1" s="1"/>
  <c r="Y22" i="1" s="1"/>
  <c r="X23" i="1" a="1"/>
  <c r="X23" i="1" s="1"/>
  <c r="Y23" i="1" s="1"/>
  <c r="X25" i="1" a="1"/>
  <c r="X25" i="1" s="1"/>
  <c r="Y25" i="1" s="1"/>
  <c r="X26" i="1" a="1"/>
  <c r="X26" i="1" s="1"/>
  <c r="Y26" i="1" s="1"/>
  <c r="X27" i="1" a="1"/>
  <c r="X27" i="1" s="1"/>
  <c r="Y27" i="1" s="1"/>
  <c r="X28" i="1" a="1"/>
  <c r="X28" i="1" s="1"/>
  <c r="Y28" i="1" s="1"/>
  <c r="X29" i="1" a="1"/>
  <c r="X29" i="1" s="1"/>
  <c r="Y29" i="1" s="1"/>
  <c r="X30" i="1" a="1"/>
  <c r="X30" i="1" s="1"/>
  <c r="Y30" i="1" s="1"/>
  <c r="X31" i="1" a="1"/>
  <c r="X31" i="1" s="1"/>
  <c r="Y31" i="1" s="1"/>
  <c r="X32" i="1" a="1"/>
  <c r="X32" i="1" s="1"/>
  <c r="Y32" i="1" s="1"/>
  <c r="X33" i="1" a="1"/>
  <c r="X33" i="1" s="1"/>
  <c r="Y33" i="1" s="1"/>
  <c r="X34" i="1" a="1"/>
  <c r="X34" i="1" s="1"/>
  <c r="Y34" i="1" s="1"/>
  <c r="X35" i="1" a="1"/>
  <c r="X35" i="1" s="1"/>
  <c r="Y35" i="1" s="1"/>
  <c r="X36" i="1" a="1"/>
  <c r="X36" i="1" s="1"/>
  <c r="Y36" i="1" s="1"/>
  <c r="X37" i="1" a="1"/>
  <c r="X37" i="1" s="1"/>
  <c r="Y37" i="1" s="1"/>
  <c r="X38" i="1" a="1"/>
  <c r="X38" i="1" s="1"/>
  <c r="Y38" i="1" s="1"/>
  <c r="X39" i="1" a="1"/>
  <c r="X39" i="1" s="1"/>
  <c r="Y39" i="1" s="1"/>
  <c r="X40" i="1" a="1"/>
  <c r="X40" i="1" s="1"/>
  <c r="Y40" i="1" s="1"/>
  <c r="X41" i="1" a="1"/>
  <c r="X41" i="1" s="1"/>
  <c r="Y41" i="1" s="1"/>
  <c r="X42" i="1" a="1"/>
  <c r="X42" i="1" s="1"/>
  <c r="Y42" i="1" s="1"/>
  <c r="X43" i="1" a="1"/>
  <c r="X43" i="1" s="1"/>
  <c r="Y43" i="1" s="1"/>
  <c r="X44" i="1" a="1"/>
  <c r="X44" i="1" s="1"/>
  <c r="Y44" i="1" s="1"/>
  <c r="X45" i="1" a="1"/>
  <c r="X45" i="1" s="1"/>
  <c r="Y45" i="1" s="1"/>
  <c r="X46" i="1" a="1"/>
  <c r="X46" i="1" s="1"/>
  <c r="Y46" i="1" s="1"/>
  <c r="X15" i="1" a="1"/>
  <c r="X15" i="1" s="1"/>
  <c r="Y15" i="1" s="1"/>
  <c r="AD15" i="1"/>
  <c r="H12" i="1"/>
  <c r="K13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15" i="1"/>
  <c r="Q47" i="1"/>
  <c r="AA15" i="4" l="1"/>
  <c r="AA47" i="4" s="1"/>
  <c r="Y47" i="4"/>
  <c r="X47" i="1"/>
  <c r="AA37" i="1"/>
  <c r="AA46" i="1"/>
  <c r="AA45" i="1"/>
  <c r="AA32" i="1"/>
  <c r="AA23" i="1"/>
  <c r="AA33" i="1"/>
  <c r="AA22" i="1"/>
  <c r="AA21" i="1"/>
  <c r="AA44" i="1"/>
  <c r="AA39" i="1"/>
  <c r="AA27" i="1"/>
  <c r="AA16" i="1"/>
  <c r="AA38" i="1"/>
  <c r="AA34" i="1"/>
  <c r="AA25" i="1"/>
  <c r="AA24" i="1"/>
  <c r="AA36" i="1"/>
  <c r="AA43" i="1"/>
  <c r="AA31" i="1"/>
  <c r="AA30" i="1"/>
  <c r="AA29" i="1"/>
  <c r="AA40" i="1"/>
  <c r="AA28" i="1"/>
  <c r="AA17" i="1"/>
  <c r="AA26" i="1"/>
  <c r="AA35" i="1"/>
  <c r="AA19" i="1"/>
  <c r="AA42" i="1"/>
  <c r="AA41" i="1"/>
  <c r="AA18" i="1"/>
  <c r="AA20" i="1"/>
  <c r="AA15" i="1"/>
  <c r="I47" i="1" l="1"/>
  <c r="J47" i="1"/>
  <c r="N47" i="1"/>
  <c r="P47" i="1"/>
  <c r="P13" i="1"/>
  <c r="AC47" i="1"/>
  <c r="AE47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I13" i="1"/>
  <c r="J13" i="1"/>
  <c r="L13" i="1"/>
  <c r="M13" i="1"/>
  <c r="N13" i="1"/>
  <c r="O13" i="1"/>
  <c r="Q13" i="1"/>
  <c r="R13" i="1"/>
  <c r="S13" i="1"/>
  <c r="T13" i="1"/>
  <c r="U13" i="1"/>
  <c r="V13" i="1"/>
  <c r="H13" i="1"/>
  <c r="G47" i="1" l="1"/>
  <c r="AD47" i="1"/>
  <c r="AB47" i="1"/>
  <c r="AA47" i="1" l="1"/>
  <c r="Y4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Joy</author>
  </authors>
  <commentList>
    <comment ref="S25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Joy:</t>
        </r>
        <r>
          <rPr>
            <sz val="9"/>
            <color indexed="81"/>
            <rFont val="Tahoma"/>
            <charset val="1"/>
          </rPr>
          <t xml:space="preserve">
Rel by:ELAINE BERMEJO</t>
        </r>
      </text>
    </comment>
    <comment ref="S32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Joy:</t>
        </r>
        <r>
          <rPr>
            <sz val="9"/>
            <color indexed="81"/>
            <rFont val="Tahoma"/>
            <charset val="1"/>
          </rPr>
          <t xml:space="preserve">
REL TO:SUNRAY MARK ELNAR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<sst xmlns="http://schemas.openxmlformats.org/spreadsheetml/2006/main" count="946" uniqueCount="112">
  <si>
    <t>PROFESSIONAL MAINTENANCE GROUP, INC.</t>
  </si>
  <si>
    <t xml:space="preserve">ATTENDANCE SUMMARY FORM 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</si>
  <si>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</si>
  <si>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</si>
  <si>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</si>
  <si>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</si>
  <si>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</si>
  <si>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</si>
  <si>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</si>
  <si>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</si>
  <si>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</si>
  <si>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</si>
  <si>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</si>
  <si>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</si>
  <si>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</si>
  <si>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</si>
  <si>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</si>
  <si>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</si>
  <si>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</si>
  <si>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</si>
  <si>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</si>
  <si>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</si>
  <si>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RS = RESIGNED</t>
  </si>
  <si>
    <t>SH = SPECIAL HOLIDAY (8)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</si>
  <si>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</si>
  <si>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</si>
  <si>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</si>
  <si>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</si>
  <si>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</si>
  <si>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</si>
  <si>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</si>
  <si>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</si>
  <si>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</si>
  <si>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CHECKED BY:</t>
  </si>
  <si>
    <t>NOTED BY:</t>
  </si>
  <si>
    <t>Reg Holiday</t>
  </si>
  <si>
    <t>Unwork</t>
  </si>
  <si>
    <t>Night Diff</t>
  </si>
  <si>
    <t>SHIFT</t>
  </si>
  <si>
    <t>TIME</t>
  </si>
  <si>
    <t>D</t>
  </si>
  <si>
    <t>A</t>
  </si>
  <si>
    <t>LR</t>
  </si>
  <si>
    <t>L</t>
  </si>
  <si>
    <t>POSITION</t>
  </si>
  <si>
    <t>PM NO.</t>
  </si>
  <si>
    <t>T</t>
  </si>
  <si>
    <t>R</t>
  </si>
  <si>
    <t>S</t>
  </si>
  <si>
    <t>RS</t>
  </si>
  <si>
    <t>TEAMLEADER</t>
  </si>
  <si>
    <t>AM SHIFT</t>
  </si>
  <si>
    <t>HOUSEKEEPING</t>
  </si>
  <si>
    <t>OPS-FRM009-01-10012025</t>
  </si>
  <si>
    <t>GRAND TOTAL</t>
  </si>
  <si>
    <t>PROJECT</t>
  </si>
  <si>
    <t>6AM-7PM</t>
  </si>
  <si>
    <t>PT-CORPORATE CENTER</t>
  </si>
  <si>
    <t>AIVAN AMITA</t>
  </si>
  <si>
    <t>REY ESPERAS</t>
  </si>
  <si>
    <t>PM SHIFT</t>
  </si>
  <si>
    <t>ALFRED ERRO JR</t>
  </si>
  <si>
    <t>IAIN MARK PUGOT</t>
  </si>
  <si>
    <t>JAYFHOY AHARAD</t>
  </si>
  <si>
    <t>JOHN PAUL ARADO</t>
  </si>
  <si>
    <t>CATHERINE N.SINDANGAN</t>
  </si>
  <si>
    <t>SORIN M. TINON-OGAN</t>
  </si>
  <si>
    <t>ANN MARIS P. BARRAL</t>
  </si>
  <si>
    <t>MELODY E EMIGIO</t>
  </si>
  <si>
    <t>ELAINE G.BERMEJO</t>
  </si>
  <si>
    <t>DAY OFF RELIEVE</t>
  </si>
  <si>
    <t>EVELYN C.DABAN</t>
  </si>
  <si>
    <t>CHRIS C.VIACRUCIS</t>
  </si>
  <si>
    <t>PM1146</t>
  </si>
  <si>
    <t>PM1510</t>
  </si>
  <si>
    <t>PM04488</t>
  </si>
  <si>
    <t>PM03873</t>
  </si>
  <si>
    <t>PM04585</t>
  </si>
  <si>
    <t>PM04566</t>
  </si>
  <si>
    <t>PM04578</t>
  </si>
  <si>
    <t>PM04530</t>
  </si>
  <si>
    <t>PM04515</t>
  </si>
  <si>
    <t>PM04588</t>
  </si>
  <si>
    <t>PM04589</t>
  </si>
  <si>
    <t>PM04114</t>
  </si>
  <si>
    <t>PM04559</t>
  </si>
  <si>
    <t>PM03869</t>
  </si>
  <si>
    <t>PM1569</t>
  </si>
  <si>
    <t>PM04440</t>
  </si>
  <si>
    <t>6PM-7AM</t>
  </si>
  <si>
    <t>RELIEVER</t>
  </si>
  <si>
    <t>FRI</t>
  </si>
  <si>
    <t>SUNRAY MARK ELNAR</t>
  </si>
  <si>
    <t>JOY NOEL M. ABION</t>
  </si>
  <si>
    <t>MON</t>
  </si>
  <si>
    <t>Engr.Jay Cariño</t>
  </si>
  <si>
    <t>ERNISTO CAROLINO</t>
  </si>
  <si>
    <t>JHAYFHOY AHARAD</t>
  </si>
  <si>
    <t>ANN MARIS BARRAL</t>
  </si>
  <si>
    <t>SORIN TINON-OGAN</t>
  </si>
  <si>
    <t>IVAN AMITA</t>
  </si>
  <si>
    <t>RAY ESPERAS</t>
  </si>
  <si>
    <t>CHRIS VIACRUCIS</t>
  </si>
  <si>
    <t>ALFRED ERRO JR.</t>
  </si>
  <si>
    <t>LH</t>
  </si>
  <si>
    <t>SH</t>
  </si>
  <si>
    <t>ERNESTO O. CAROLINO</t>
  </si>
  <si>
    <t>7AM-8PM</t>
  </si>
  <si>
    <t>25min</t>
  </si>
  <si>
    <t>48mn</t>
  </si>
  <si>
    <t>80min</t>
  </si>
  <si>
    <t>43min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</si>
</sst>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5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8"/>
      <color theme="1" tint="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0" fontId="5" fillId="2" borderId="16" xfId="0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5" xfId="0" applyFont="1" applyFill="1" applyBorder="1"/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2" fillId="2" borderId="0" xfId="0" applyFont="1" applyFill="1"/>
    <xf numFmtId="0" fontId="4" fillId="2" borderId="15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164" fontId="5" fillId="2" borderId="15" xfId="0" applyNumberFormat="1" applyFont="1" applyFill="1" applyBorder="1" applyAlignment="1">
      <alignment horizontal="center"/>
    </xf>
    <xf numFmtId="164" fontId="5" fillId="2" borderId="20" xfId="0" applyNumberFormat="1" applyFont="1" applyFill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</cellXfs>
  <cellStyles count="1">
    <cellStyle name="Normal" xfId="0" builtinId="0"/>
  </cellStyles>
  <dxfs count="228"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colors>
    <mruColors>
      <color rgb="FFFF6161"/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2435" y="205789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6968106" y="1020536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153117" y="1021492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6210" y="192182"/>
          <a:ext cx="1501698" cy="9698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9421474" y="952500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8509874" y="953456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6210" y="192182"/>
          <a:ext cx="1501698" cy="9698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9421474" y="952500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8509874" y="953456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6210" y="192182"/>
          <a:ext cx="1501698" cy="9698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9421474" y="952500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8509874" y="953456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6210" y="192182"/>
          <a:ext cx="1501698" cy="9698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9421474" y="952500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8509874" y="953456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6210" y="192182"/>
          <a:ext cx="1501698" cy="9698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19421474" y="952500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8509874" y="953456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2"/>
  <sheetViews>
    <sheetView tabSelected="1" view="pageBreakPreview" topLeftCell="C7" zoomScale="86" zoomScaleNormal="70" zoomScaleSheetLayoutView="86" workbookViewId="0">
      <selection activeCell="O22" sqref="O22"/>
    </sheetView>
  </sheetViews>
  <sheetFormatPr defaultColWidth="9.125" defaultRowHeight="14.25"/>
  <cols>
    <col min="1" max="1" width="4.125" style="5" customWidth="1"/>
    <col min="2" max="2" width="6.625" style="5" customWidth="1"/>
    <col min="3" max="3" width="25.625" style="5" customWidth="1"/>
    <col min="4" max="4" width="12" style="5" customWidth="1"/>
    <col min="5" max="5" width="18.625" style="5" customWidth="1"/>
    <col min="6" max="6" width="14.125" style="5" customWidth="1"/>
    <col min="7" max="7" width="12" style="5" customWidth="1"/>
    <col min="8" max="23" width="5.75" style="5" customWidth="1"/>
    <col min="24" max="30" width="10.375" style="37" customWidth="1"/>
    <col min="31" max="31" width="10.375" style="5" customWidth="1"/>
    <col min="32" max="16384" width="9.125" style="5"/>
  </cols>
  <sheetData>
    <row r="1" spans="2:31" ht="15" thickBot="1"/>
    <row r="2" spans="2:31" ht="15.75">
      <c r="B2" s="10"/>
      <c r="C2" s="69" t="s">
        <v>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1"/>
    </row>
    <row r="3" spans="2:31" ht="15.75">
      <c r="B3" s="11"/>
      <c r="C3" s="72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4"/>
    </row>
    <row r="4" spans="2:31" ht="15.75">
      <c r="B4" s="11"/>
      <c r="C4" s="75" t="s">
        <v>1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7"/>
    </row>
    <row r="5" spans="2:31" ht="15.75">
      <c r="B5" s="11"/>
      <c r="C5" s="72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4"/>
    </row>
    <row r="6" spans="2:31" ht="16.5" customHeight="1" thickBot="1">
      <c r="B6" s="12"/>
      <c r="C6" s="85" t="s">
        <v>53</v>
      </c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7"/>
    </row>
    <row r="7" spans="2:31" ht="23.25" customHeight="1">
      <c r="C7" s="64" t="s">
        <v>55</v>
      </c>
      <c r="G7" s="34"/>
      <c r="H7" s="34"/>
    </row>
    <row r="8" spans="2:31" ht="15" customHeight="1">
      <c r="B8" s="27"/>
      <c r="C8" s="82" t="s">
        <v>57</v>
      </c>
      <c r="D8" s="83"/>
      <c r="E8" s="83"/>
      <c r="F8" s="84"/>
      <c r="G8" s="13"/>
      <c r="H8" s="13"/>
      <c r="I8" s="35"/>
      <c r="J8" s="13"/>
      <c r="K8" s="13"/>
      <c r="L8" s="13"/>
    </row>
    <row r="9" spans="2:31" ht="15" customHeight="1">
      <c r="C9" s="14" t="s">
        <v>2</v>
      </c>
      <c r="D9" s="89">
        <v>45931</v>
      </c>
      <c r="E9" s="89"/>
      <c r="F9" s="30"/>
      <c r="G9" s="33"/>
      <c r="H9" s="15"/>
      <c r="I9" s="15"/>
      <c r="J9" s="15"/>
      <c r="K9" s="15"/>
    </row>
    <row r="10" spans="2:31" ht="15" customHeight="1">
      <c r="B10" s="28"/>
      <c r="C10" s="14" t="s">
        <v>3</v>
      </c>
      <c r="D10" s="88">
        <v>45945</v>
      </c>
      <c r="E10" s="88"/>
      <c r="F10" s="31"/>
      <c r="G10" s="32"/>
      <c r="H10" s="15"/>
      <c r="I10" s="15"/>
      <c r="J10" s="15"/>
      <c r="K10" s="15"/>
    </row>
    <row r="11" spans="2:31" ht="15" thickBot="1"/>
    <row r="12" spans="2:31" ht="21.75" customHeight="1">
      <c r="B12" s="90" t="s">
        <v>4</v>
      </c>
      <c r="C12" s="90" t="s">
        <v>5</v>
      </c>
      <c r="D12" s="90" t="s">
        <v>45</v>
      </c>
      <c r="E12" s="90" t="s">
        <v>44</v>
      </c>
      <c r="F12" s="90" t="s">
        <v>38</v>
      </c>
      <c r="G12" s="93" t="s">
        <v>39</v>
      </c>
      <c r="H12" s="52" t="str">
        <f>IF(COLUMN()-COLUMN($H$12)&lt;=$D$10-$D9+1, TEXT($D$9+COLUMN()-COLUMN($H$12),"ddd"), "")</f>
        <v>Wed</v>
      </c>
      <c r="I12" s="53" t="str">
        <f t="shared" ref="I12:V12" si="0">IF(COLUMN()-COLUMN($H$12)&lt;=$D$10-$D9+1, TEXT($D$9+COLUMN()-COLUMN($H$12),"ddd"), "")</f>
        <v>Thu</v>
      </c>
      <c r="J12" s="53" t="str">
        <f t="shared" si="0"/>
        <v>Fri</v>
      </c>
      <c r="K12" s="53" t="str">
        <f t="shared" si="0"/>
        <v>Sat</v>
      </c>
      <c r="L12" s="53" t="str">
        <f t="shared" si="0"/>
        <v>Sun</v>
      </c>
      <c r="M12" s="53" t="str">
        <f t="shared" si="0"/>
        <v>Mon</v>
      </c>
      <c r="N12" s="53" t="str">
        <f t="shared" si="0"/>
        <v>Tue</v>
      </c>
      <c r="O12" s="53" t="str">
        <f t="shared" si="0"/>
        <v>Wed</v>
      </c>
      <c r="P12" s="53" t="str">
        <f t="shared" si="0"/>
        <v>Thu</v>
      </c>
      <c r="Q12" s="53" t="str">
        <f t="shared" si="0"/>
        <v>Fri</v>
      </c>
      <c r="R12" s="53" t="str">
        <f t="shared" si="0"/>
        <v>Sat</v>
      </c>
      <c r="S12" s="53" t="str">
        <f t="shared" si="0"/>
        <v>Sun</v>
      </c>
      <c r="T12" s="53" t="str">
        <f t="shared" si="0"/>
        <v>Mon</v>
      </c>
      <c r="U12" s="53" t="str">
        <f t="shared" si="0"/>
        <v>Tue</v>
      </c>
      <c r="V12" s="53" t="str">
        <f t="shared" si="0"/>
        <v>Wed</v>
      </c>
      <c r="W12" s="54"/>
      <c r="X12" s="48" t="s">
        <v>6</v>
      </c>
      <c r="Y12" s="49" t="s">
        <v>6</v>
      </c>
      <c r="Z12" s="49" t="s">
        <v>8</v>
      </c>
      <c r="AA12" s="49" t="s">
        <v>10</v>
      </c>
      <c r="AB12" s="49" t="s">
        <v>11</v>
      </c>
      <c r="AC12" s="49" t="s">
        <v>36</v>
      </c>
      <c r="AD12" s="49" t="s">
        <v>12</v>
      </c>
      <c r="AE12" s="90" t="s">
        <v>37</v>
      </c>
    </row>
    <row r="13" spans="2:31" ht="13.5" customHeight="1">
      <c r="B13" s="91"/>
      <c r="C13" s="91"/>
      <c r="D13" s="91"/>
      <c r="E13" s="91"/>
      <c r="F13" s="91"/>
      <c r="G13" s="94"/>
      <c r="H13" s="55">
        <f t="shared" ref="H13:V13" si="1">IF(COLUMN()-COLUMN($H$13)&lt;=$D$10-$D$9+1, DAY($D$9+COLUMN()-COLUMN($H$13)), "")</f>
        <v>1</v>
      </c>
      <c r="I13" s="44">
        <f t="shared" si="1"/>
        <v>2</v>
      </c>
      <c r="J13" s="44">
        <f t="shared" si="1"/>
        <v>3</v>
      </c>
      <c r="K13" s="44">
        <f t="shared" si="1"/>
        <v>4</v>
      </c>
      <c r="L13" s="44">
        <f t="shared" si="1"/>
        <v>5</v>
      </c>
      <c r="M13" s="44">
        <f t="shared" si="1"/>
        <v>6</v>
      </c>
      <c r="N13" s="44">
        <f t="shared" si="1"/>
        <v>7</v>
      </c>
      <c r="O13" s="44">
        <f t="shared" si="1"/>
        <v>8</v>
      </c>
      <c r="P13" s="44">
        <f t="shared" si="1"/>
        <v>9</v>
      </c>
      <c r="Q13" s="44">
        <f t="shared" si="1"/>
        <v>10</v>
      </c>
      <c r="R13" s="44">
        <f t="shared" si="1"/>
        <v>11</v>
      </c>
      <c r="S13" s="44">
        <f t="shared" si="1"/>
        <v>12</v>
      </c>
      <c r="T13" s="44">
        <f t="shared" si="1"/>
        <v>13</v>
      </c>
      <c r="U13" s="44">
        <f t="shared" si="1"/>
        <v>14</v>
      </c>
      <c r="V13" s="44">
        <f t="shared" si="1"/>
        <v>15</v>
      </c>
      <c r="W13" s="56"/>
      <c r="X13" s="96" t="s">
        <v>15</v>
      </c>
      <c r="Y13" s="90" t="s">
        <v>7</v>
      </c>
      <c r="Z13" s="90" t="s">
        <v>9</v>
      </c>
      <c r="AA13" s="90" t="s">
        <v>14</v>
      </c>
      <c r="AB13" s="90" t="s">
        <v>13</v>
      </c>
      <c r="AC13" s="90" t="s">
        <v>35</v>
      </c>
      <c r="AD13" s="90" t="s">
        <v>13</v>
      </c>
      <c r="AE13" s="91"/>
    </row>
    <row r="14" spans="2:31" ht="11.25" customHeight="1">
      <c r="B14" s="92"/>
      <c r="C14" s="92"/>
      <c r="D14" s="92"/>
      <c r="E14" s="92"/>
      <c r="F14" s="92"/>
      <c r="G14" s="95"/>
      <c r="H14" s="57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58"/>
      <c r="X14" s="97"/>
      <c r="Y14" s="92"/>
      <c r="Z14" s="92"/>
      <c r="AA14" s="92"/>
      <c r="AB14" s="92"/>
      <c r="AC14" s="92"/>
      <c r="AD14" s="92"/>
      <c r="AE14" s="92"/>
    </row>
    <row r="15" spans="2:31" ht="24.95" customHeight="1">
      <c r="B15" s="16">
        <f>ROW()-14</f>
        <v>1</v>
      </c>
      <c r="C15" s="18" t="s">
        <v>93</v>
      </c>
      <c r="D15" s="18">
        <v>1146</v>
      </c>
      <c r="E15" s="18" t="s">
        <v>50</v>
      </c>
      <c r="F15" s="18" t="s">
        <v>51</v>
      </c>
      <c r="G15" s="17" t="s">
        <v>56</v>
      </c>
      <c r="H15" s="59">
        <v>12</v>
      </c>
      <c r="I15" s="19">
        <v>12</v>
      </c>
      <c r="J15" s="19">
        <v>12</v>
      </c>
      <c r="K15" s="19" t="s">
        <v>40</v>
      </c>
      <c r="L15" s="19">
        <v>12</v>
      </c>
      <c r="M15" s="19">
        <v>12</v>
      </c>
      <c r="N15" s="19">
        <v>12</v>
      </c>
      <c r="O15" s="19">
        <v>12</v>
      </c>
      <c r="P15" s="19">
        <v>12</v>
      </c>
      <c r="Q15" s="19">
        <v>12</v>
      </c>
      <c r="R15" s="19" t="s">
        <v>40</v>
      </c>
      <c r="S15" s="19">
        <v>12</v>
      </c>
      <c r="T15" s="19">
        <v>12</v>
      </c>
      <c r="U15" s="19">
        <v>12</v>
      </c>
      <c r="V15" s="19">
        <v>12</v>
      </c>
      <c r="W15" s="60"/>
      <c r="X15" s="50" cm="1">
        <f t="array" ref="X15">SUMPRODUCT(--ISNUMBER(H15:W15), --($H$14:$W$14&lt;&gt;"LH"), --($H$14:$W$14&lt;&gt;"SH"))</f>
        <v>13</v>
      </c>
      <c r="Y15" s="19">
        <f>X15*8</f>
        <v>104</v>
      </c>
      <c r="Z15" s="19"/>
      <c r="AA15" s="19">
        <f>SUM(H15:W15)-AB15-AD15-Y15</f>
        <v>52</v>
      </c>
      <c r="AB15" s="19">
        <v>0</v>
      </c>
      <c r="AC15" s="19"/>
      <c r="AD15" s="19">
        <f>SUMIF($H$14:$W$14,"SH",$H15:$W15)</f>
        <v>0</v>
      </c>
      <c r="AE15" s="51"/>
    </row>
    <row r="16" spans="2:31" ht="24.95" customHeight="1">
      <c r="B16" s="16">
        <f t="shared" ref="B16:B46" si="2">ROW()-14</f>
        <v>2</v>
      </c>
      <c r="C16" s="18" t="s">
        <v>65</v>
      </c>
      <c r="D16" s="18">
        <v>1510</v>
      </c>
      <c r="E16" s="18" t="s">
        <v>50</v>
      </c>
      <c r="F16" s="18" t="s">
        <v>51</v>
      </c>
      <c r="G16" s="17" t="s">
        <v>107</v>
      </c>
      <c r="H16" s="59" t="s">
        <v>40</v>
      </c>
      <c r="I16" s="19">
        <v>12</v>
      </c>
      <c r="J16" s="19">
        <v>12</v>
      </c>
      <c r="K16" s="19">
        <v>12</v>
      </c>
      <c r="L16" s="19">
        <v>12</v>
      </c>
      <c r="M16" s="19">
        <v>12</v>
      </c>
      <c r="N16" s="19">
        <v>12</v>
      </c>
      <c r="O16" s="19" t="s">
        <v>40</v>
      </c>
      <c r="P16" s="19">
        <v>12</v>
      </c>
      <c r="Q16" s="19">
        <v>12</v>
      </c>
      <c r="R16" s="19">
        <v>12</v>
      </c>
      <c r="S16" s="19">
        <v>12</v>
      </c>
      <c r="T16" s="19">
        <v>12</v>
      </c>
      <c r="U16" s="19">
        <v>12</v>
      </c>
      <c r="V16" s="19" t="s">
        <v>40</v>
      </c>
      <c r="W16" s="60"/>
      <c r="X16" s="50" cm="1">
        <f t="array" ref="X16">SUMPRODUCT(--ISNUMBER(H16:W16), --($H$14:$W$14&lt;&gt;"LH"), --($H$14:$W$14&lt;&gt;"SH"))</f>
        <v>12</v>
      </c>
      <c r="Y16" s="19">
        <f t="shared" ref="Y16:Y46" si="3">X16*8</f>
        <v>96</v>
      </c>
      <c r="Z16" s="19"/>
      <c r="AA16" s="19">
        <f t="shared" ref="AA16:AA46" si="4">SUM(H16:W16)-AB16-AD16-Y16</f>
        <v>48</v>
      </c>
      <c r="AB16" s="19">
        <v>0</v>
      </c>
      <c r="AC16" s="19"/>
      <c r="AD16" s="19">
        <f t="shared" ref="AD16:AD46" si="5">SUMIF($H$14:$W$14,"SH",$H16:$W16)</f>
        <v>0</v>
      </c>
      <c r="AE16" s="51"/>
    </row>
    <row r="17" spans="2:31" ht="24.95" customHeight="1">
      <c r="B17" s="16">
        <f t="shared" si="2"/>
        <v>3</v>
      </c>
      <c r="C17" s="18" t="s">
        <v>66</v>
      </c>
      <c r="D17" s="18">
        <v>4488</v>
      </c>
      <c r="E17" s="18" t="s">
        <v>52</v>
      </c>
      <c r="F17" s="18" t="s">
        <v>51</v>
      </c>
      <c r="G17" s="17" t="s">
        <v>56</v>
      </c>
      <c r="H17" s="59">
        <v>12</v>
      </c>
      <c r="I17" s="19">
        <v>12</v>
      </c>
      <c r="J17" s="19" t="s">
        <v>40</v>
      </c>
      <c r="K17" s="19">
        <v>12</v>
      </c>
      <c r="L17" s="19">
        <v>12</v>
      </c>
      <c r="M17" s="19">
        <v>12</v>
      </c>
      <c r="N17" s="19">
        <v>12</v>
      </c>
      <c r="O17" s="19">
        <v>12</v>
      </c>
      <c r="P17" s="19" t="s">
        <v>41</v>
      </c>
      <c r="Q17" s="19" t="s">
        <v>40</v>
      </c>
      <c r="R17" s="19">
        <v>12</v>
      </c>
      <c r="S17" s="19">
        <v>12</v>
      </c>
      <c r="T17" s="19">
        <v>12</v>
      </c>
      <c r="U17" s="19">
        <v>12</v>
      </c>
      <c r="V17" s="19">
        <v>12</v>
      </c>
      <c r="W17" s="60"/>
      <c r="X17" s="50" cm="1">
        <f t="array" ref="X17">SUMPRODUCT(--ISNUMBER(H17:W17), --($H$14:$W$14&lt;&gt;"LH"), --($H$14:$W$14&lt;&gt;"SH"))</f>
        <v>12</v>
      </c>
      <c r="Y17" s="19">
        <f t="shared" si="3"/>
        <v>96</v>
      </c>
      <c r="Z17" s="19"/>
      <c r="AA17" s="19">
        <f t="shared" si="4"/>
        <v>48</v>
      </c>
      <c r="AB17" s="19">
        <v>0</v>
      </c>
      <c r="AC17" s="19"/>
      <c r="AD17" s="19">
        <f t="shared" si="5"/>
        <v>0</v>
      </c>
      <c r="AE17" s="51"/>
    </row>
    <row r="18" spans="2:31" ht="24.95" customHeight="1">
      <c r="B18" s="16">
        <f t="shared" si="2"/>
        <v>4</v>
      </c>
      <c r="C18" s="18" t="s">
        <v>67</v>
      </c>
      <c r="D18" s="18">
        <v>3873</v>
      </c>
      <c r="E18" s="18" t="s">
        <v>52</v>
      </c>
      <c r="F18" s="18" t="s">
        <v>51</v>
      </c>
      <c r="G18" s="17" t="s">
        <v>56</v>
      </c>
      <c r="H18" s="59">
        <v>12</v>
      </c>
      <c r="I18" s="19">
        <v>12</v>
      </c>
      <c r="J18" s="19">
        <v>12</v>
      </c>
      <c r="K18" s="19" t="s">
        <v>40</v>
      </c>
      <c r="L18" s="19">
        <v>12</v>
      </c>
      <c r="M18" s="19">
        <v>12</v>
      </c>
      <c r="N18" s="19">
        <v>12</v>
      </c>
      <c r="O18" s="19">
        <v>12</v>
      </c>
      <c r="P18" s="19">
        <v>12</v>
      </c>
      <c r="Q18" s="19">
        <v>12</v>
      </c>
      <c r="R18" s="19" t="s">
        <v>40</v>
      </c>
      <c r="S18" s="19">
        <v>12</v>
      </c>
      <c r="T18" s="19">
        <v>12</v>
      </c>
      <c r="U18" s="19">
        <v>12</v>
      </c>
      <c r="V18" s="19">
        <v>12</v>
      </c>
      <c r="W18" s="60"/>
      <c r="X18" s="50" cm="1">
        <f t="array" ref="X18">SUMPRODUCT(--ISNUMBER(H18:W18), --($H$14:$W$14&lt;&gt;"LH"), --($H$14:$W$14&lt;&gt;"SH"))</f>
        <v>13</v>
      </c>
      <c r="Y18" s="19">
        <f t="shared" si="3"/>
        <v>104</v>
      </c>
      <c r="Z18" s="19"/>
      <c r="AA18" s="19">
        <f t="shared" si="4"/>
        <v>52</v>
      </c>
      <c r="AB18" s="19">
        <v>0</v>
      </c>
      <c r="AC18" s="19"/>
      <c r="AD18" s="19">
        <f t="shared" si="5"/>
        <v>0</v>
      </c>
      <c r="AE18" s="51"/>
    </row>
    <row r="19" spans="2:31" ht="24.95" customHeight="1">
      <c r="B19" s="16">
        <f t="shared" si="2"/>
        <v>5</v>
      </c>
      <c r="C19" s="18" t="s">
        <v>58</v>
      </c>
      <c r="D19" s="18">
        <v>4585</v>
      </c>
      <c r="E19" s="18" t="s">
        <v>52</v>
      </c>
      <c r="F19" s="18" t="s">
        <v>51</v>
      </c>
      <c r="G19" s="17" t="s">
        <v>56</v>
      </c>
      <c r="H19" s="59">
        <v>12</v>
      </c>
      <c r="I19" s="19" t="s">
        <v>40</v>
      </c>
      <c r="J19" s="19">
        <v>12</v>
      </c>
      <c r="K19" s="19">
        <v>12</v>
      </c>
      <c r="L19" s="19">
        <v>12</v>
      </c>
      <c r="M19" s="19">
        <v>12</v>
      </c>
      <c r="N19" s="19">
        <v>12</v>
      </c>
      <c r="O19" s="19">
        <v>12</v>
      </c>
      <c r="P19" s="19" t="s">
        <v>40</v>
      </c>
      <c r="Q19" s="19">
        <v>12</v>
      </c>
      <c r="R19" s="19">
        <v>12</v>
      </c>
      <c r="S19" s="19">
        <v>12</v>
      </c>
      <c r="T19" s="19">
        <v>12</v>
      </c>
      <c r="U19" s="19">
        <v>12</v>
      </c>
      <c r="V19" s="19">
        <v>12</v>
      </c>
      <c r="W19" s="60"/>
      <c r="X19" s="50" cm="1">
        <f t="array" ref="X19">SUMPRODUCT(--ISNUMBER(H19:W19), --($H$14:$W$14&lt;&gt;"LH"), --($H$14:$W$14&lt;&gt;"SH"))</f>
        <v>13</v>
      </c>
      <c r="Y19" s="19">
        <f t="shared" si="3"/>
        <v>104</v>
      </c>
      <c r="Z19" s="19"/>
      <c r="AA19" s="19">
        <f t="shared" si="4"/>
        <v>52</v>
      </c>
      <c r="AB19" s="19">
        <f t="shared" ref="AB19:AB46" si="6">SUMIF($H$14:$W$14,"LH",$H19:$W19)</f>
        <v>0</v>
      </c>
      <c r="AC19" s="19"/>
      <c r="AD19" s="19">
        <f t="shared" si="5"/>
        <v>0</v>
      </c>
      <c r="AE19" s="51"/>
    </row>
    <row r="20" spans="2:31" ht="24.95" customHeight="1">
      <c r="B20" s="16">
        <f t="shared" si="2"/>
        <v>6</v>
      </c>
      <c r="C20" s="18" t="s">
        <v>59</v>
      </c>
      <c r="D20" s="18">
        <v>4566</v>
      </c>
      <c r="E20" s="18" t="s">
        <v>52</v>
      </c>
      <c r="F20" s="18" t="s">
        <v>51</v>
      </c>
      <c r="G20" s="17" t="s">
        <v>56</v>
      </c>
      <c r="H20" s="59">
        <v>12</v>
      </c>
      <c r="I20" s="19" t="s">
        <v>41</v>
      </c>
      <c r="J20" s="19">
        <v>12</v>
      </c>
      <c r="K20" s="19">
        <v>12</v>
      </c>
      <c r="L20" s="19">
        <v>12</v>
      </c>
      <c r="M20" s="19" t="s">
        <v>40</v>
      </c>
      <c r="N20" s="19">
        <v>12</v>
      </c>
      <c r="O20" s="19">
        <v>12</v>
      </c>
      <c r="P20" s="19">
        <v>12</v>
      </c>
      <c r="Q20" s="19">
        <v>12</v>
      </c>
      <c r="R20" s="19">
        <v>12</v>
      </c>
      <c r="S20" s="19">
        <v>12</v>
      </c>
      <c r="T20" s="19" t="s">
        <v>40</v>
      </c>
      <c r="U20" s="19">
        <v>12</v>
      </c>
      <c r="V20" s="19">
        <v>12</v>
      </c>
      <c r="W20" s="60"/>
      <c r="X20" s="50" cm="1">
        <f t="array" ref="X20">SUMPRODUCT(--ISNUMBER(H20:W20), --($H$14:$W$14&lt;&gt;"LH"), --($H$14:$W$14&lt;&gt;"SH"))</f>
        <v>12</v>
      </c>
      <c r="Y20" s="19">
        <f t="shared" si="3"/>
        <v>96</v>
      </c>
      <c r="Z20" s="19"/>
      <c r="AA20" s="19">
        <f t="shared" si="4"/>
        <v>48</v>
      </c>
      <c r="AB20" s="19">
        <f t="shared" si="6"/>
        <v>0</v>
      </c>
      <c r="AC20" s="19"/>
      <c r="AD20" s="19">
        <f t="shared" si="5"/>
        <v>0</v>
      </c>
      <c r="AE20" s="51"/>
    </row>
    <row r="21" spans="2:31" ht="24.95" customHeight="1">
      <c r="B21" s="16">
        <f t="shared" si="2"/>
        <v>7</v>
      </c>
      <c r="C21" s="18" t="s">
        <v>72</v>
      </c>
      <c r="D21" s="18">
        <v>4578</v>
      </c>
      <c r="E21" s="18" t="s">
        <v>52</v>
      </c>
      <c r="F21" s="18" t="s">
        <v>51</v>
      </c>
      <c r="G21" s="17" t="s">
        <v>56</v>
      </c>
      <c r="H21" s="59">
        <v>12</v>
      </c>
      <c r="I21" s="19">
        <v>12</v>
      </c>
      <c r="J21" s="19">
        <v>12</v>
      </c>
      <c r="K21" s="19">
        <v>12</v>
      </c>
      <c r="L21" s="19">
        <v>12</v>
      </c>
      <c r="M21" s="19">
        <v>12</v>
      </c>
      <c r="N21" s="19" t="s">
        <v>40</v>
      </c>
      <c r="O21" s="19">
        <v>12</v>
      </c>
      <c r="P21" s="19">
        <v>12</v>
      </c>
      <c r="Q21" s="19">
        <v>12</v>
      </c>
      <c r="R21" s="19">
        <v>12</v>
      </c>
      <c r="S21" s="19">
        <v>12</v>
      </c>
      <c r="T21" s="19">
        <v>12</v>
      </c>
      <c r="U21" s="19" t="s">
        <v>40</v>
      </c>
      <c r="V21" s="19">
        <v>12</v>
      </c>
      <c r="W21" s="60"/>
      <c r="X21" s="50" cm="1">
        <f t="array" ref="X21">SUMPRODUCT(--ISNUMBER(H21:W21), --($H$14:$W$14&lt;&gt;"LH"), --($H$14:$W$14&lt;&gt;"SH"))</f>
        <v>13</v>
      </c>
      <c r="Y21" s="19">
        <f t="shared" si="3"/>
        <v>104</v>
      </c>
      <c r="Z21" s="19"/>
      <c r="AA21" s="19">
        <f t="shared" si="4"/>
        <v>52</v>
      </c>
      <c r="AB21" s="19">
        <f t="shared" si="6"/>
        <v>0</v>
      </c>
      <c r="AC21" s="19"/>
      <c r="AD21" s="19">
        <f t="shared" si="5"/>
        <v>0</v>
      </c>
      <c r="AE21" s="51"/>
    </row>
    <row r="22" spans="2:31" ht="24.95" customHeight="1">
      <c r="B22" s="16">
        <f t="shared" si="2"/>
        <v>8</v>
      </c>
      <c r="C22" s="18" t="s">
        <v>68</v>
      </c>
      <c r="D22" s="18">
        <v>4530</v>
      </c>
      <c r="E22" s="18" t="s">
        <v>70</v>
      </c>
      <c r="F22" s="18" t="s">
        <v>51</v>
      </c>
      <c r="G22" s="17" t="s">
        <v>56</v>
      </c>
      <c r="H22" s="59">
        <v>12</v>
      </c>
      <c r="I22" s="59">
        <v>12</v>
      </c>
      <c r="J22" s="19">
        <v>12</v>
      </c>
      <c r="K22" s="59">
        <v>12</v>
      </c>
      <c r="L22" s="59" t="s">
        <v>40</v>
      </c>
      <c r="M22" s="19">
        <v>12</v>
      </c>
      <c r="N22" s="59">
        <v>12</v>
      </c>
      <c r="O22" s="59">
        <v>12</v>
      </c>
      <c r="P22" s="19">
        <v>12</v>
      </c>
      <c r="Q22" s="59">
        <v>12</v>
      </c>
      <c r="R22" s="19">
        <v>12</v>
      </c>
      <c r="S22" s="19" t="s">
        <v>40</v>
      </c>
      <c r="T22" s="19">
        <v>12</v>
      </c>
      <c r="U22" s="19">
        <v>12</v>
      </c>
      <c r="V22" s="19">
        <v>12</v>
      </c>
      <c r="W22" s="60"/>
      <c r="X22" s="50" cm="1">
        <f t="array" ref="X22">SUMPRODUCT(--ISNUMBER(H22:W22), --($H$14:$W$14&lt;&gt;"LH"), --($H$14:$W$14&lt;&gt;"SH"))</f>
        <v>13</v>
      </c>
      <c r="Y22" s="19">
        <f t="shared" si="3"/>
        <v>104</v>
      </c>
      <c r="Z22" s="19"/>
      <c r="AA22" s="19">
        <f t="shared" si="4"/>
        <v>52</v>
      </c>
      <c r="AB22" s="19">
        <f t="shared" si="6"/>
        <v>0</v>
      </c>
      <c r="AC22" s="19"/>
      <c r="AD22" s="19">
        <f t="shared" si="5"/>
        <v>0</v>
      </c>
      <c r="AE22" s="65"/>
    </row>
    <row r="23" spans="2:31" ht="24.95" customHeight="1">
      <c r="B23" s="16">
        <f t="shared" si="2"/>
        <v>9</v>
      </c>
      <c r="C23" s="5" t="s">
        <v>106</v>
      </c>
      <c r="D23" s="18">
        <v>4515</v>
      </c>
      <c r="E23" s="18" t="s">
        <v>52</v>
      </c>
      <c r="F23" s="18" t="s">
        <v>60</v>
      </c>
      <c r="G23" s="17" t="s">
        <v>89</v>
      </c>
      <c r="H23" s="59">
        <v>12</v>
      </c>
      <c r="I23" s="59">
        <v>12</v>
      </c>
      <c r="J23" s="19">
        <v>12</v>
      </c>
      <c r="K23" s="59">
        <v>12</v>
      </c>
      <c r="L23" s="59" t="s">
        <v>40</v>
      </c>
      <c r="M23" s="19">
        <v>12</v>
      </c>
      <c r="N23" s="59">
        <v>12</v>
      </c>
      <c r="O23" s="59">
        <v>12</v>
      </c>
      <c r="P23" s="19">
        <v>12</v>
      </c>
      <c r="Q23" s="59">
        <v>12</v>
      </c>
      <c r="R23" s="19">
        <v>12</v>
      </c>
      <c r="S23" s="19" t="s">
        <v>40</v>
      </c>
      <c r="T23" s="19">
        <v>12</v>
      </c>
      <c r="U23" s="19">
        <v>12</v>
      </c>
      <c r="V23" s="19">
        <v>12</v>
      </c>
      <c r="W23" s="60"/>
      <c r="X23" s="50" cm="1">
        <f t="array" ref="X23">SUMPRODUCT(--ISNUMBER(H23:W23), --($H$14:$W$14&lt;&gt;"LH"), --($H$14:$W$14&lt;&gt;"SH"))</f>
        <v>13</v>
      </c>
      <c r="Y23" s="19">
        <f t="shared" si="3"/>
        <v>104</v>
      </c>
      <c r="Z23" s="19" t="s">
        <v>108</v>
      </c>
      <c r="AA23" s="19">
        <f t="shared" si="4"/>
        <v>52</v>
      </c>
      <c r="AB23" s="19">
        <f t="shared" si="6"/>
        <v>0</v>
      </c>
      <c r="AC23" s="19"/>
      <c r="AD23" s="19">
        <f t="shared" si="5"/>
        <v>0</v>
      </c>
      <c r="AE23" s="65">
        <v>104</v>
      </c>
    </row>
    <row r="24" spans="2:31" ht="24.95" customHeight="1">
      <c r="B24" s="16">
        <f t="shared" si="2"/>
        <v>10</v>
      </c>
      <c r="C24" s="18" t="s">
        <v>61</v>
      </c>
      <c r="D24" s="18">
        <v>4588</v>
      </c>
      <c r="E24" s="18" t="s">
        <v>52</v>
      </c>
      <c r="F24" s="18" t="s">
        <v>60</v>
      </c>
      <c r="G24" s="17" t="s">
        <v>89</v>
      </c>
      <c r="H24" s="59" t="s">
        <v>40</v>
      </c>
      <c r="I24" s="19">
        <v>12</v>
      </c>
      <c r="J24" s="19">
        <v>12</v>
      </c>
      <c r="K24" s="19">
        <v>12</v>
      </c>
      <c r="L24" s="19">
        <v>12</v>
      </c>
      <c r="M24" s="19">
        <v>12</v>
      </c>
      <c r="N24" s="19">
        <v>12</v>
      </c>
      <c r="O24" s="19" t="s">
        <v>40</v>
      </c>
      <c r="P24" s="19">
        <v>12</v>
      </c>
      <c r="Q24" s="19">
        <v>12</v>
      </c>
      <c r="R24" s="19">
        <v>12</v>
      </c>
      <c r="S24" s="19">
        <v>12</v>
      </c>
      <c r="T24" s="19">
        <v>12</v>
      </c>
      <c r="U24" s="19">
        <v>12</v>
      </c>
      <c r="V24" s="19" t="s">
        <v>40</v>
      </c>
      <c r="W24" s="60"/>
      <c r="X24" s="50" cm="1">
        <f t="array" ref="X24">SUMPRODUCT(--ISNUMBER(H24:W24), --($H$14:$W$14&lt;&gt;"LH"), --($H$14:$W$14&lt;&gt;"SH"))</f>
        <v>12</v>
      </c>
      <c r="Y24" s="19">
        <f t="shared" si="3"/>
        <v>96</v>
      </c>
      <c r="Z24" s="19" t="s">
        <v>110</v>
      </c>
      <c r="AA24" s="19">
        <f t="shared" si="4"/>
        <v>48</v>
      </c>
      <c r="AB24" s="19">
        <f t="shared" si="6"/>
        <v>0</v>
      </c>
      <c r="AC24" s="19"/>
      <c r="AD24" s="19">
        <f t="shared" si="5"/>
        <v>0</v>
      </c>
      <c r="AE24" s="65">
        <v>96</v>
      </c>
    </row>
    <row r="25" spans="2:31" ht="24.95" customHeight="1">
      <c r="B25" s="16">
        <f t="shared" si="2"/>
        <v>11</v>
      </c>
      <c r="C25" s="18" t="s">
        <v>92</v>
      </c>
      <c r="D25" s="18">
        <v>4589</v>
      </c>
      <c r="E25" s="18" t="s">
        <v>52</v>
      </c>
      <c r="F25" s="18" t="s">
        <v>60</v>
      </c>
      <c r="G25" s="17" t="s">
        <v>89</v>
      </c>
      <c r="H25" s="59">
        <v>12</v>
      </c>
      <c r="I25" s="19" t="s">
        <v>40</v>
      </c>
      <c r="J25" s="19">
        <v>12</v>
      </c>
      <c r="K25" s="19">
        <v>12</v>
      </c>
      <c r="L25" s="19">
        <v>12</v>
      </c>
      <c r="M25" s="19">
        <v>12</v>
      </c>
      <c r="N25" s="19">
        <v>12</v>
      </c>
      <c r="O25" s="19">
        <v>12</v>
      </c>
      <c r="P25" s="19" t="s">
        <v>40</v>
      </c>
      <c r="Q25" s="19">
        <v>12</v>
      </c>
      <c r="R25" s="19">
        <v>8</v>
      </c>
      <c r="S25" s="19" t="s">
        <v>41</v>
      </c>
      <c r="T25" s="19">
        <v>12</v>
      </c>
      <c r="U25" s="19">
        <v>12</v>
      </c>
      <c r="V25" s="19">
        <v>12</v>
      </c>
      <c r="W25" s="60"/>
      <c r="X25" s="50" cm="1">
        <f t="array" ref="X25">SUMPRODUCT(--ISNUMBER(H25:W25), --($H$14:$W$14&lt;&gt;"LH"), --($H$14:$W$14&lt;&gt;"SH"))</f>
        <v>12</v>
      </c>
      <c r="Y25" s="19">
        <f t="shared" si="3"/>
        <v>96</v>
      </c>
      <c r="Z25" s="19"/>
      <c r="AA25" s="19">
        <f t="shared" si="4"/>
        <v>44</v>
      </c>
      <c r="AB25" s="19">
        <f t="shared" si="6"/>
        <v>0</v>
      </c>
      <c r="AC25" s="19"/>
      <c r="AD25" s="19">
        <f t="shared" si="5"/>
        <v>0</v>
      </c>
      <c r="AE25" s="65">
        <v>96</v>
      </c>
    </row>
    <row r="26" spans="2:31" ht="24.95" customHeight="1">
      <c r="B26" s="16">
        <f t="shared" si="2"/>
        <v>12</v>
      </c>
      <c r="C26" s="18" t="s">
        <v>62</v>
      </c>
      <c r="D26" s="18">
        <v>4114</v>
      </c>
      <c r="E26" s="18" t="s">
        <v>52</v>
      </c>
      <c r="F26" s="18" t="s">
        <v>60</v>
      </c>
      <c r="G26" s="17" t="s">
        <v>89</v>
      </c>
      <c r="H26" s="59">
        <v>12</v>
      </c>
      <c r="I26" s="19">
        <v>12</v>
      </c>
      <c r="J26" s="19">
        <v>12</v>
      </c>
      <c r="K26" s="19" t="s">
        <v>40</v>
      </c>
      <c r="L26" s="19">
        <v>12</v>
      </c>
      <c r="M26" s="19">
        <v>12</v>
      </c>
      <c r="N26" s="19">
        <v>12</v>
      </c>
      <c r="O26" s="19">
        <v>12</v>
      </c>
      <c r="P26" s="19">
        <v>12</v>
      </c>
      <c r="Q26" s="19">
        <v>12</v>
      </c>
      <c r="R26" s="19" t="s">
        <v>40</v>
      </c>
      <c r="S26" s="19">
        <v>12</v>
      </c>
      <c r="T26" s="19">
        <v>12</v>
      </c>
      <c r="U26" s="19">
        <v>12</v>
      </c>
      <c r="V26" s="19">
        <v>12</v>
      </c>
      <c r="W26" s="60"/>
      <c r="X26" s="50" cm="1">
        <f t="array" ref="X26">SUMPRODUCT(--ISNUMBER(H26:W26), --($H$14:$W$14&lt;&gt;"LH"), --($H$14:$W$14&lt;&gt;"SH"))</f>
        <v>13</v>
      </c>
      <c r="Y26" s="19">
        <f t="shared" si="3"/>
        <v>104</v>
      </c>
      <c r="Z26" s="19"/>
      <c r="AA26" s="19">
        <f t="shared" si="4"/>
        <v>52</v>
      </c>
      <c r="AB26" s="19">
        <f t="shared" si="6"/>
        <v>0</v>
      </c>
      <c r="AC26" s="19"/>
      <c r="AD26" s="19">
        <f t="shared" si="5"/>
        <v>0</v>
      </c>
      <c r="AE26" s="65">
        <v>104</v>
      </c>
    </row>
    <row r="27" spans="2:31" ht="24.95" customHeight="1">
      <c r="B27" s="16">
        <f t="shared" si="2"/>
        <v>13</v>
      </c>
      <c r="C27" s="18" t="s">
        <v>63</v>
      </c>
      <c r="D27" s="18">
        <v>4559</v>
      </c>
      <c r="E27" s="18" t="s">
        <v>52</v>
      </c>
      <c r="F27" s="18" t="s">
        <v>60</v>
      </c>
      <c r="G27" s="17" t="s">
        <v>89</v>
      </c>
      <c r="H27" s="59">
        <v>12</v>
      </c>
      <c r="I27" s="19">
        <v>12</v>
      </c>
      <c r="J27" s="19">
        <v>12</v>
      </c>
      <c r="K27" s="19">
        <v>12</v>
      </c>
      <c r="L27" s="19">
        <v>12</v>
      </c>
      <c r="M27" s="19" t="s">
        <v>40</v>
      </c>
      <c r="N27" s="19">
        <v>12</v>
      </c>
      <c r="O27" s="19">
        <v>12</v>
      </c>
      <c r="P27" s="19">
        <v>12</v>
      </c>
      <c r="Q27" s="19">
        <v>12</v>
      </c>
      <c r="R27" s="19">
        <v>12</v>
      </c>
      <c r="S27" s="19">
        <v>12</v>
      </c>
      <c r="T27" s="19" t="s">
        <v>40</v>
      </c>
      <c r="U27" s="19">
        <v>12</v>
      </c>
      <c r="V27" s="19">
        <v>12</v>
      </c>
      <c r="W27" s="60"/>
      <c r="X27" s="50" cm="1">
        <f t="array" ref="X27">SUMPRODUCT(--ISNUMBER(H27:W27), --($H$14:$W$14&lt;&gt;"LH"), --($H$14:$W$14&lt;&gt;"SH"))</f>
        <v>13</v>
      </c>
      <c r="Y27" s="19">
        <f t="shared" si="3"/>
        <v>104</v>
      </c>
      <c r="Z27" s="19"/>
      <c r="AA27" s="19">
        <f t="shared" si="4"/>
        <v>52</v>
      </c>
      <c r="AB27" s="19">
        <f t="shared" si="6"/>
        <v>0</v>
      </c>
      <c r="AC27" s="19"/>
      <c r="AD27" s="19">
        <f t="shared" si="5"/>
        <v>0</v>
      </c>
      <c r="AE27" s="65">
        <v>104</v>
      </c>
    </row>
    <row r="28" spans="2:31" ht="24.95" customHeight="1">
      <c r="B28" s="16">
        <f t="shared" si="2"/>
        <v>14</v>
      </c>
      <c r="C28" s="18" t="s">
        <v>64</v>
      </c>
      <c r="D28" s="18">
        <v>3869</v>
      </c>
      <c r="E28" s="18" t="s">
        <v>52</v>
      </c>
      <c r="F28" s="18" t="s">
        <v>60</v>
      </c>
      <c r="G28" s="17" t="s">
        <v>89</v>
      </c>
      <c r="H28" s="59">
        <v>12</v>
      </c>
      <c r="I28" s="19">
        <v>12</v>
      </c>
      <c r="J28" s="19">
        <v>12</v>
      </c>
      <c r="K28" s="19">
        <v>11.5</v>
      </c>
      <c r="L28" s="19">
        <v>12</v>
      </c>
      <c r="M28" s="19">
        <v>12</v>
      </c>
      <c r="N28" s="19" t="s">
        <v>40</v>
      </c>
      <c r="O28" s="19">
        <v>12</v>
      </c>
      <c r="P28" s="19">
        <v>12</v>
      </c>
      <c r="Q28" s="19">
        <v>12</v>
      </c>
      <c r="R28" s="19">
        <v>12</v>
      </c>
      <c r="S28" s="19">
        <v>12</v>
      </c>
      <c r="T28" s="19">
        <v>12</v>
      </c>
      <c r="U28" s="19" t="s">
        <v>40</v>
      </c>
      <c r="V28" s="19">
        <v>12</v>
      </c>
      <c r="W28" s="60"/>
      <c r="X28" s="50" cm="1">
        <f t="array" ref="X28">SUMPRODUCT(--ISNUMBER(H28:W28), --($H$14:$W$14&lt;&gt;"LH"), --($H$14:$W$14&lt;&gt;"SH"))</f>
        <v>13</v>
      </c>
      <c r="Y28" s="19">
        <f t="shared" si="3"/>
        <v>104</v>
      </c>
      <c r="Z28" s="19" t="s">
        <v>111</v>
      </c>
      <c r="AA28" s="19">
        <f t="shared" si="4"/>
        <v>51.5</v>
      </c>
      <c r="AB28" s="19">
        <f t="shared" si="6"/>
        <v>0</v>
      </c>
      <c r="AC28" s="19"/>
      <c r="AD28" s="19">
        <f t="shared" si="5"/>
        <v>0</v>
      </c>
      <c r="AE28" s="65">
        <v>104</v>
      </c>
    </row>
    <row r="29" spans="2:31" ht="24.95" customHeight="1">
      <c r="B29" s="16">
        <f t="shared" si="2"/>
        <v>15</v>
      </c>
      <c r="C29" s="18" t="s">
        <v>71</v>
      </c>
      <c r="D29" s="18">
        <v>1569</v>
      </c>
      <c r="E29" s="18" t="s">
        <v>52</v>
      </c>
      <c r="F29" s="18" t="s">
        <v>60</v>
      </c>
      <c r="G29" s="17" t="s">
        <v>89</v>
      </c>
      <c r="H29" s="59">
        <v>12</v>
      </c>
      <c r="I29" s="19">
        <v>12</v>
      </c>
      <c r="J29" s="19" t="s">
        <v>40</v>
      </c>
      <c r="K29" s="19">
        <v>12</v>
      </c>
      <c r="L29" s="19">
        <v>12</v>
      </c>
      <c r="M29" s="19">
        <v>12</v>
      </c>
      <c r="N29" s="19">
        <v>12</v>
      </c>
      <c r="O29" s="19">
        <v>12</v>
      </c>
      <c r="P29" s="19">
        <v>12</v>
      </c>
      <c r="Q29" s="19" t="s">
        <v>40</v>
      </c>
      <c r="R29" s="19">
        <v>12</v>
      </c>
      <c r="S29" s="19">
        <v>12</v>
      </c>
      <c r="T29" s="19">
        <v>12</v>
      </c>
      <c r="U29" s="19">
        <v>12</v>
      </c>
      <c r="V29" s="19">
        <v>12</v>
      </c>
      <c r="W29" s="60"/>
      <c r="X29" s="50" cm="1">
        <f t="array" ref="X29">SUMPRODUCT(--ISNUMBER(H29:W29), --($H$14:$W$14&lt;&gt;"LH"), --($H$14:$W$14&lt;&gt;"SH"))</f>
        <v>13</v>
      </c>
      <c r="Y29" s="19">
        <f t="shared" si="3"/>
        <v>104</v>
      </c>
      <c r="Z29" s="19"/>
      <c r="AA29" s="19">
        <f t="shared" si="4"/>
        <v>52</v>
      </c>
      <c r="AB29" s="19">
        <f t="shared" si="6"/>
        <v>0</v>
      </c>
      <c r="AC29" s="19"/>
      <c r="AD29" s="19">
        <f t="shared" si="5"/>
        <v>0</v>
      </c>
      <c r="AE29" s="65">
        <v>104</v>
      </c>
    </row>
    <row r="30" spans="2:31" ht="24.95" customHeight="1">
      <c r="B30" s="16">
        <f t="shared" si="2"/>
        <v>16</v>
      </c>
      <c r="C30" s="18" t="s">
        <v>69</v>
      </c>
      <c r="D30" s="18">
        <v>4440</v>
      </c>
      <c r="E30" s="18" t="s">
        <v>70</v>
      </c>
      <c r="F30" s="18" t="s">
        <v>60</v>
      </c>
      <c r="G30" s="17" t="s">
        <v>89</v>
      </c>
      <c r="H30" s="59">
        <v>12</v>
      </c>
      <c r="I30" s="19">
        <v>12</v>
      </c>
      <c r="J30" s="19">
        <v>12</v>
      </c>
      <c r="K30" s="19">
        <v>12</v>
      </c>
      <c r="L30" s="19" t="s">
        <v>40</v>
      </c>
      <c r="M30" s="19">
        <v>12</v>
      </c>
      <c r="N30" s="19">
        <v>12</v>
      </c>
      <c r="O30" s="19">
        <v>12</v>
      </c>
      <c r="P30" s="19">
        <v>12</v>
      </c>
      <c r="Q30" s="19">
        <v>12</v>
      </c>
      <c r="R30" s="19">
        <v>12</v>
      </c>
      <c r="S30" s="19" t="s">
        <v>40</v>
      </c>
      <c r="T30" s="19">
        <v>12</v>
      </c>
      <c r="U30" s="19">
        <v>12</v>
      </c>
      <c r="V30" s="19">
        <v>12</v>
      </c>
      <c r="W30" s="60"/>
      <c r="X30" s="50" cm="1">
        <f t="array" ref="X30">SUMPRODUCT(--ISNUMBER(H30:W30), --($H$14:$W$14&lt;&gt;"LH"), --($H$14:$W$14&lt;&gt;"SH"))</f>
        <v>13</v>
      </c>
      <c r="Y30" s="19">
        <f t="shared" si="3"/>
        <v>104</v>
      </c>
      <c r="Z30" s="19" t="s">
        <v>109</v>
      </c>
      <c r="AA30" s="19">
        <f t="shared" si="4"/>
        <v>52</v>
      </c>
      <c r="AB30" s="19">
        <f t="shared" si="6"/>
        <v>0</v>
      </c>
      <c r="AC30" s="19"/>
      <c r="AD30" s="19">
        <f t="shared" si="5"/>
        <v>0</v>
      </c>
      <c r="AE30" s="65">
        <v>104</v>
      </c>
    </row>
    <row r="31" spans="2:31" ht="24.95" customHeight="1">
      <c r="B31" s="16">
        <f t="shared" si="2"/>
        <v>17</v>
      </c>
      <c r="C31" s="66" t="s">
        <v>90</v>
      </c>
      <c r="D31" s="18"/>
      <c r="E31" s="18"/>
      <c r="F31" s="18"/>
      <c r="G31" s="17"/>
      <c r="H31" s="5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60"/>
      <c r="X31" s="50" cm="1">
        <f t="array" ref="X31">SUMPRODUCT(--ISNUMBER(H31:W31), --($H$14:$W$14&lt;&gt;"LH"), --($H$14:$W$14&lt;&gt;"SH"))</f>
        <v>0</v>
      </c>
      <c r="Y31" s="19">
        <f t="shared" si="3"/>
        <v>0</v>
      </c>
      <c r="Z31" s="19"/>
      <c r="AA31" s="19">
        <f t="shared" si="4"/>
        <v>0</v>
      </c>
      <c r="AB31" s="19">
        <f t="shared" si="6"/>
        <v>0</v>
      </c>
      <c r="AC31" s="19"/>
      <c r="AD31" s="19">
        <f t="shared" si="5"/>
        <v>0</v>
      </c>
      <c r="AE31" s="65"/>
    </row>
    <row r="32" spans="2:31" ht="24.95" customHeight="1">
      <c r="B32" s="16">
        <f t="shared" si="2"/>
        <v>18</v>
      </c>
      <c r="C32" s="18" t="s">
        <v>69</v>
      </c>
      <c r="D32" s="18">
        <v>4440</v>
      </c>
      <c r="E32" s="18" t="s">
        <v>52</v>
      </c>
      <c r="F32" s="18" t="s">
        <v>60</v>
      </c>
      <c r="G32" s="17" t="s">
        <v>89</v>
      </c>
      <c r="H32" s="5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>
        <v>12</v>
      </c>
      <c r="T32" s="19"/>
      <c r="U32" s="19"/>
      <c r="V32" s="19"/>
      <c r="W32" s="60"/>
      <c r="X32" s="50" cm="1">
        <f t="array" ref="X32">SUMPRODUCT(--ISNUMBER(H32:W32), --($H$14:$W$14&lt;&gt;"LH"), --($H$14:$W$14&lt;&gt;"SH"))</f>
        <v>1</v>
      </c>
      <c r="Y32" s="19">
        <f t="shared" si="3"/>
        <v>8</v>
      </c>
      <c r="Z32" s="19"/>
      <c r="AA32" s="19">
        <f t="shared" si="4"/>
        <v>4</v>
      </c>
      <c r="AB32" s="19">
        <f t="shared" si="6"/>
        <v>0</v>
      </c>
      <c r="AC32" s="19"/>
      <c r="AD32" s="19">
        <f t="shared" si="5"/>
        <v>0</v>
      </c>
      <c r="AE32" s="65">
        <v>8</v>
      </c>
    </row>
    <row r="33" spans="2:31" ht="24.95" customHeight="1">
      <c r="B33" s="16">
        <f t="shared" si="2"/>
        <v>19</v>
      </c>
      <c r="C33" s="18"/>
      <c r="D33" s="18"/>
      <c r="E33" s="18"/>
      <c r="F33" s="18"/>
      <c r="G33" s="17"/>
      <c r="H33" s="5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60"/>
      <c r="X33" s="50" cm="1">
        <f t="array" ref="X33">SUMPRODUCT(--ISNUMBER(H33:W33), --($H$14:$W$14&lt;&gt;"LH"), --($H$14:$W$14&lt;&gt;"SH"))</f>
        <v>0</v>
      </c>
      <c r="Y33" s="19">
        <f t="shared" si="3"/>
        <v>0</v>
      </c>
      <c r="Z33" s="19"/>
      <c r="AA33" s="19">
        <f t="shared" si="4"/>
        <v>0</v>
      </c>
      <c r="AB33" s="19">
        <f t="shared" si="6"/>
        <v>0</v>
      </c>
      <c r="AC33" s="19"/>
      <c r="AD33" s="19">
        <f t="shared" si="5"/>
        <v>0</v>
      </c>
      <c r="AE33" s="65"/>
    </row>
    <row r="34" spans="2:31" ht="24.95" customHeight="1">
      <c r="B34" s="16">
        <f t="shared" si="2"/>
        <v>20</v>
      </c>
      <c r="C34" s="18"/>
      <c r="D34" s="18"/>
      <c r="E34" s="18"/>
      <c r="F34" s="18"/>
      <c r="G34" s="17"/>
      <c r="H34" s="5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60"/>
      <c r="X34" s="50" cm="1">
        <f t="array" ref="X34">SUMPRODUCT(--ISNUMBER(H34:W34), --($H$14:$W$14&lt;&gt;"LH"), --($H$14:$W$14&lt;&gt;"SH"))</f>
        <v>0</v>
      </c>
      <c r="Y34" s="19">
        <f t="shared" si="3"/>
        <v>0</v>
      </c>
      <c r="Z34" s="19"/>
      <c r="AA34" s="19">
        <f t="shared" si="4"/>
        <v>0</v>
      </c>
      <c r="AB34" s="19">
        <f t="shared" si="6"/>
        <v>0</v>
      </c>
      <c r="AC34" s="19"/>
      <c r="AD34" s="19">
        <f t="shared" si="5"/>
        <v>0</v>
      </c>
      <c r="AE34" s="65"/>
    </row>
    <row r="35" spans="2:31" ht="24.95" customHeight="1">
      <c r="B35" s="16">
        <f t="shared" si="2"/>
        <v>21</v>
      </c>
      <c r="C35" s="18"/>
      <c r="D35" s="18"/>
      <c r="E35" s="18"/>
      <c r="F35" s="18"/>
      <c r="G35" s="17"/>
      <c r="H35" s="5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60"/>
      <c r="X35" s="50" cm="1">
        <f t="array" ref="X35">SUMPRODUCT(--ISNUMBER(H35:W35), --($H$14:$W$14&lt;&gt;"LH"), --($H$14:$W$14&lt;&gt;"SH"))</f>
        <v>0</v>
      </c>
      <c r="Y35" s="19">
        <f t="shared" si="3"/>
        <v>0</v>
      </c>
      <c r="Z35" s="19"/>
      <c r="AA35" s="19">
        <f t="shared" si="4"/>
        <v>0</v>
      </c>
      <c r="AB35" s="19">
        <f t="shared" si="6"/>
        <v>0</v>
      </c>
      <c r="AC35" s="19"/>
      <c r="AD35" s="19">
        <f t="shared" si="5"/>
        <v>0</v>
      </c>
      <c r="AE35" s="65"/>
    </row>
    <row r="36" spans="2:31" ht="24.95" customHeight="1">
      <c r="B36" s="16">
        <f t="shared" si="2"/>
        <v>22</v>
      </c>
      <c r="C36" s="18"/>
      <c r="D36" s="18"/>
      <c r="E36" s="18"/>
      <c r="F36" s="18"/>
      <c r="G36" s="17"/>
      <c r="H36" s="5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60"/>
      <c r="X36" s="50" cm="1">
        <f t="array" ref="X36">SUMPRODUCT(--ISNUMBER(H36:W36), --($H$14:$W$14&lt;&gt;"LH"), --($H$14:$W$14&lt;&gt;"SH"))</f>
        <v>0</v>
      </c>
      <c r="Y36" s="19">
        <f t="shared" si="3"/>
        <v>0</v>
      </c>
      <c r="Z36" s="19"/>
      <c r="AA36" s="19">
        <f t="shared" si="4"/>
        <v>0</v>
      </c>
      <c r="AB36" s="19">
        <f t="shared" si="6"/>
        <v>0</v>
      </c>
      <c r="AC36" s="19"/>
      <c r="AD36" s="19">
        <f t="shared" si="5"/>
        <v>0</v>
      </c>
      <c r="AE36" s="65"/>
    </row>
    <row r="37" spans="2:31" ht="24.95" customHeight="1">
      <c r="B37" s="16">
        <f t="shared" si="2"/>
        <v>23</v>
      </c>
      <c r="C37" s="18"/>
      <c r="D37" s="18"/>
      <c r="E37" s="18"/>
      <c r="F37" s="18"/>
      <c r="G37" s="17"/>
      <c r="H37" s="5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60"/>
      <c r="X37" s="50" cm="1">
        <f t="array" ref="X37">SUMPRODUCT(--ISNUMBER(H37:W37), --($H$14:$W$14&lt;&gt;"LH"), --($H$14:$W$14&lt;&gt;"SH"))</f>
        <v>0</v>
      </c>
      <c r="Y37" s="19">
        <f t="shared" si="3"/>
        <v>0</v>
      </c>
      <c r="Z37" s="19"/>
      <c r="AA37" s="19">
        <f t="shared" si="4"/>
        <v>0</v>
      </c>
      <c r="AB37" s="19">
        <f t="shared" si="6"/>
        <v>0</v>
      </c>
      <c r="AC37" s="19"/>
      <c r="AD37" s="19">
        <f t="shared" si="5"/>
        <v>0</v>
      </c>
      <c r="AE37" s="65"/>
    </row>
    <row r="38" spans="2:31" ht="24.95" customHeight="1">
      <c r="B38" s="16">
        <f t="shared" si="2"/>
        <v>24</v>
      </c>
      <c r="C38" s="18"/>
      <c r="D38" s="18"/>
      <c r="E38" s="18"/>
      <c r="F38" s="18"/>
      <c r="G38" s="17"/>
      <c r="H38" s="5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60"/>
      <c r="X38" s="50" cm="1">
        <f t="array" ref="X38">SUMPRODUCT(--ISNUMBER(H38:W38), --($H$14:$W$14&lt;&gt;"LH"), --($H$14:$W$14&lt;&gt;"SH"))</f>
        <v>0</v>
      </c>
      <c r="Y38" s="19">
        <f t="shared" si="3"/>
        <v>0</v>
      </c>
      <c r="Z38" s="19"/>
      <c r="AA38" s="19">
        <f t="shared" si="4"/>
        <v>0</v>
      </c>
      <c r="AB38" s="19">
        <f t="shared" si="6"/>
        <v>0</v>
      </c>
      <c r="AC38" s="19"/>
      <c r="AD38" s="19">
        <f t="shared" si="5"/>
        <v>0</v>
      </c>
      <c r="AE38" s="65"/>
    </row>
    <row r="39" spans="2:31" ht="24.95" customHeight="1">
      <c r="B39" s="16">
        <f t="shared" si="2"/>
        <v>25</v>
      </c>
      <c r="C39" s="18"/>
      <c r="D39" s="18"/>
      <c r="E39" s="18"/>
      <c r="F39" s="18"/>
      <c r="G39" s="17"/>
      <c r="H39" s="5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60"/>
      <c r="X39" s="50" cm="1">
        <f t="array" ref="X39">SUMPRODUCT(--ISNUMBER(H39:W39), --($H$14:$W$14&lt;&gt;"LH"), --($H$14:$W$14&lt;&gt;"SH"))</f>
        <v>0</v>
      </c>
      <c r="Y39" s="19">
        <f t="shared" si="3"/>
        <v>0</v>
      </c>
      <c r="Z39" s="19"/>
      <c r="AA39" s="19">
        <f t="shared" si="4"/>
        <v>0</v>
      </c>
      <c r="AB39" s="19">
        <f t="shared" si="6"/>
        <v>0</v>
      </c>
      <c r="AC39" s="19"/>
      <c r="AD39" s="19">
        <f t="shared" si="5"/>
        <v>0</v>
      </c>
      <c r="AE39" s="65"/>
    </row>
    <row r="40" spans="2:31" ht="24.95" customHeight="1">
      <c r="B40" s="16">
        <f t="shared" si="2"/>
        <v>26</v>
      </c>
      <c r="C40" s="18"/>
      <c r="D40" s="18"/>
      <c r="E40" s="18"/>
      <c r="F40" s="18"/>
      <c r="G40" s="17"/>
      <c r="H40" s="5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60"/>
      <c r="X40" s="50" cm="1">
        <f t="array" ref="X40">SUMPRODUCT(--ISNUMBER(H40:W40), --($H$14:$W$14&lt;&gt;"LH"), --($H$14:$W$14&lt;&gt;"SH"))</f>
        <v>0</v>
      </c>
      <c r="Y40" s="19">
        <f t="shared" si="3"/>
        <v>0</v>
      </c>
      <c r="Z40" s="19"/>
      <c r="AA40" s="19">
        <f t="shared" si="4"/>
        <v>0</v>
      </c>
      <c r="AB40" s="19">
        <f t="shared" si="6"/>
        <v>0</v>
      </c>
      <c r="AC40" s="19"/>
      <c r="AD40" s="19">
        <f t="shared" si="5"/>
        <v>0</v>
      </c>
      <c r="AE40" s="65"/>
    </row>
    <row r="41" spans="2:31" ht="24.95" customHeight="1">
      <c r="B41" s="16">
        <f t="shared" si="2"/>
        <v>27</v>
      </c>
      <c r="C41" s="18"/>
      <c r="D41" s="18"/>
      <c r="E41" s="18"/>
      <c r="F41" s="18"/>
      <c r="G41" s="17"/>
      <c r="H41" s="5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60"/>
      <c r="X41" s="50" cm="1">
        <f t="array" ref="X41">SUMPRODUCT(--ISNUMBER(H41:W41), --($H$14:$W$14&lt;&gt;"LH"), --($H$14:$W$14&lt;&gt;"SH"))</f>
        <v>0</v>
      </c>
      <c r="Y41" s="19">
        <f t="shared" si="3"/>
        <v>0</v>
      </c>
      <c r="Z41" s="19"/>
      <c r="AA41" s="19">
        <f t="shared" si="4"/>
        <v>0</v>
      </c>
      <c r="AB41" s="19">
        <f t="shared" si="6"/>
        <v>0</v>
      </c>
      <c r="AC41" s="19"/>
      <c r="AD41" s="19">
        <f t="shared" si="5"/>
        <v>0</v>
      </c>
      <c r="AE41" s="65"/>
    </row>
    <row r="42" spans="2:31" ht="24.95" customHeight="1">
      <c r="B42" s="16">
        <f t="shared" si="2"/>
        <v>28</v>
      </c>
      <c r="C42" s="18"/>
      <c r="D42" s="18"/>
      <c r="E42" s="18"/>
      <c r="F42" s="18"/>
      <c r="G42" s="17"/>
      <c r="H42" s="5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60"/>
      <c r="X42" s="50" cm="1">
        <f t="array" ref="X42">SUMPRODUCT(--ISNUMBER(H42:W42), --($H$14:$W$14&lt;&gt;"LH"), --($H$14:$W$14&lt;&gt;"SH"))</f>
        <v>0</v>
      </c>
      <c r="Y42" s="19">
        <f t="shared" si="3"/>
        <v>0</v>
      </c>
      <c r="Z42" s="19"/>
      <c r="AA42" s="19">
        <f t="shared" si="4"/>
        <v>0</v>
      </c>
      <c r="AB42" s="19">
        <f t="shared" si="6"/>
        <v>0</v>
      </c>
      <c r="AC42" s="19"/>
      <c r="AD42" s="19">
        <f t="shared" si="5"/>
        <v>0</v>
      </c>
      <c r="AE42" s="65"/>
    </row>
    <row r="43" spans="2:31" ht="24.95" customHeight="1">
      <c r="B43" s="16">
        <f t="shared" si="2"/>
        <v>29</v>
      </c>
      <c r="C43" s="18"/>
      <c r="D43" s="18"/>
      <c r="E43" s="18"/>
      <c r="F43" s="18"/>
      <c r="G43" s="17"/>
      <c r="H43" s="5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60"/>
      <c r="X43" s="50" cm="1">
        <f t="array" ref="X43">SUMPRODUCT(--ISNUMBER(H43:W43), --($H$14:$W$14&lt;&gt;"LH"), --($H$14:$W$14&lt;&gt;"SH"))</f>
        <v>0</v>
      </c>
      <c r="Y43" s="19">
        <f t="shared" si="3"/>
        <v>0</v>
      </c>
      <c r="Z43" s="19"/>
      <c r="AA43" s="19">
        <f t="shared" si="4"/>
        <v>0</v>
      </c>
      <c r="AB43" s="19">
        <f t="shared" si="6"/>
        <v>0</v>
      </c>
      <c r="AC43" s="19"/>
      <c r="AD43" s="19">
        <f t="shared" si="5"/>
        <v>0</v>
      </c>
      <c r="AE43" s="65"/>
    </row>
    <row r="44" spans="2:31" ht="24.95" customHeight="1">
      <c r="B44" s="16">
        <f t="shared" si="2"/>
        <v>30</v>
      </c>
      <c r="C44" s="18"/>
      <c r="D44" s="18"/>
      <c r="E44" s="18"/>
      <c r="F44" s="18"/>
      <c r="G44" s="17"/>
      <c r="H44" s="5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60"/>
      <c r="X44" s="50" cm="1">
        <f t="array" ref="X44">SUMPRODUCT(--ISNUMBER(H44:W44), --($H$14:$W$14&lt;&gt;"LH"), --($H$14:$W$14&lt;&gt;"SH"))</f>
        <v>0</v>
      </c>
      <c r="Y44" s="19">
        <f t="shared" si="3"/>
        <v>0</v>
      </c>
      <c r="Z44" s="19"/>
      <c r="AA44" s="19">
        <f t="shared" si="4"/>
        <v>0</v>
      </c>
      <c r="AB44" s="19">
        <f t="shared" si="6"/>
        <v>0</v>
      </c>
      <c r="AC44" s="19"/>
      <c r="AD44" s="19">
        <f t="shared" si="5"/>
        <v>0</v>
      </c>
      <c r="AE44" s="65"/>
    </row>
    <row r="45" spans="2:31" ht="24.95" customHeight="1">
      <c r="B45" s="16">
        <f t="shared" si="2"/>
        <v>31</v>
      </c>
      <c r="C45" s="18"/>
      <c r="D45" s="18"/>
      <c r="E45" s="18"/>
      <c r="F45" s="18"/>
      <c r="G45" s="17"/>
      <c r="H45" s="5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60"/>
      <c r="X45" s="50" cm="1">
        <f t="array" ref="X45">SUMPRODUCT(--ISNUMBER(H45:W45), --($H$14:$W$14&lt;&gt;"LH"), --($H$14:$W$14&lt;&gt;"SH"))</f>
        <v>0</v>
      </c>
      <c r="Y45" s="19">
        <f t="shared" si="3"/>
        <v>0</v>
      </c>
      <c r="Z45" s="19"/>
      <c r="AA45" s="19">
        <f t="shared" si="4"/>
        <v>0</v>
      </c>
      <c r="AB45" s="19">
        <f t="shared" si="6"/>
        <v>0</v>
      </c>
      <c r="AC45" s="19"/>
      <c r="AD45" s="19">
        <f t="shared" si="5"/>
        <v>0</v>
      </c>
      <c r="AE45" s="65"/>
    </row>
    <row r="46" spans="2:31" ht="24.95" customHeight="1">
      <c r="B46" s="16">
        <f t="shared" si="2"/>
        <v>32</v>
      </c>
      <c r="C46" s="18"/>
      <c r="D46" s="18"/>
      <c r="E46" s="18"/>
      <c r="F46" s="18"/>
      <c r="G46" s="17"/>
      <c r="H46" s="5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60"/>
      <c r="X46" s="50" cm="1">
        <f t="array" ref="X46">SUMPRODUCT(--ISNUMBER(H46:W46), --($H$14:$W$14&lt;&gt;"LH"), --($H$14:$W$14&lt;&gt;"SH"))</f>
        <v>0</v>
      </c>
      <c r="Y46" s="19">
        <f t="shared" si="3"/>
        <v>0</v>
      </c>
      <c r="Z46" s="19"/>
      <c r="AA46" s="19">
        <f t="shared" si="4"/>
        <v>0</v>
      </c>
      <c r="AB46" s="19">
        <f t="shared" si="6"/>
        <v>0</v>
      </c>
      <c r="AC46" s="19"/>
      <c r="AD46" s="19">
        <f t="shared" si="5"/>
        <v>0</v>
      </c>
      <c r="AE46" s="65"/>
    </row>
    <row r="47" spans="2:31" ht="22.5" customHeight="1" thickBot="1">
      <c r="B47" s="19"/>
      <c r="C47" s="18"/>
      <c r="D47" s="18"/>
      <c r="E47" s="82" t="s">
        <v>54</v>
      </c>
      <c r="F47" s="83"/>
      <c r="G47" s="29">
        <f>SUM(H47:W47)</f>
        <v>204</v>
      </c>
      <c r="H47" s="61">
        <f t="shared" ref="H47:W47" si="7">COUNTA(H15:H46)-COUNTIF(H15:H46,"A")-COUNTIF(H15:H46,"D")-COUNTIF(H15:H46,"L")</f>
        <v>14</v>
      </c>
      <c r="I47" s="62">
        <f t="shared" si="7"/>
        <v>13</v>
      </c>
      <c r="J47" s="62">
        <f t="shared" si="7"/>
        <v>14</v>
      </c>
      <c r="K47" s="62">
        <v>13</v>
      </c>
      <c r="L47" s="62">
        <v>13</v>
      </c>
      <c r="M47" s="62">
        <v>14</v>
      </c>
      <c r="N47" s="62">
        <f t="shared" si="7"/>
        <v>14</v>
      </c>
      <c r="O47" s="62">
        <f>COUNTA(O15:O46)-COUNTIF(O15:O46,"A")-COUNTIF(O15:O46,"D")-COUNTIF(O15:O46,"L")</f>
        <v>14</v>
      </c>
      <c r="P47" s="62">
        <f t="shared" si="7"/>
        <v>13</v>
      </c>
      <c r="Q47" s="62">
        <f t="shared" si="7"/>
        <v>14</v>
      </c>
      <c r="R47" s="62">
        <f t="shared" si="7"/>
        <v>13</v>
      </c>
      <c r="S47" s="62">
        <f t="shared" si="7"/>
        <v>13</v>
      </c>
      <c r="T47" s="62">
        <f t="shared" si="7"/>
        <v>14</v>
      </c>
      <c r="U47" s="62">
        <f t="shared" si="7"/>
        <v>14</v>
      </c>
      <c r="V47" s="62">
        <f t="shared" si="7"/>
        <v>14</v>
      </c>
      <c r="W47" s="62">
        <f t="shared" si="7"/>
        <v>0</v>
      </c>
      <c r="X47" s="46">
        <f t="shared" ref="X47:AE47" si="8">SUM(X15:X46)</f>
        <v>204</v>
      </c>
      <c r="Y47" s="47">
        <f t="shared" si="8"/>
        <v>1632</v>
      </c>
      <c r="Z47" s="47">
        <v>196</v>
      </c>
      <c r="AA47" s="47">
        <f t="shared" si="8"/>
        <v>811.5</v>
      </c>
      <c r="AB47" s="47">
        <f t="shared" si="8"/>
        <v>0</v>
      </c>
      <c r="AC47" s="47">
        <f t="shared" si="8"/>
        <v>0</v>
      </c>
      <c r="AD47" s="47">
        <f t="shared" si="8"/>
        <v>0</v>
      </c>
      <c r="AE47" s="47">
        <f t="shared" si="8"/>
        <v>824</v>
      </c>
    </row>
    <row r="49" spans="2:31" ht="15.75">
      <c r="B49" s="20" t="s">
        <v>28</v>
      </c>
      <c r="H49" s="78" t="s">
        <v>33</v>
      </c>
      <c r="I49" s="78"/>
      <c r="J49" s="78"/>
      <c r="K49" s="78"/>
      <c r="R49" s="78" t="s">
        <v>34</v>
      </c>
      <c r="S49" s="78"/>
      <c r="T49" s="78"/>
      <c r="U49" s="78"/>
      <c r="Z49" s="4"/>
      <c r="AA49" s="1" t="s">
        <v>16</v>
      </c>
      <c r="AB49" s="41"/>
      <c r="AC49" s="2"/>
      <c r="AD49" s="38"/>
      <c r="AE49" s="4"/>
    </row>
    <row r="50" spans="2:31" ht="15.75">
      <c r="U50" s="3"/>
      <c r="Z50" s="38"/>
      <c r="AA50" s="24" t="s">
        <v>17</v>
      </c>
      <c r="AB50" s="42"/>
      <c r="AC50" s="6"/>
      <c r="AD50" s="38"/>
      <c r="AE50" s="3"/>
    </row>
    <row r="51" spans="2:31" ht="15.75">
      <c r="U51" s="3"/>
      <c r="Z51" s="38"/>
      <c r="AA51" s="24" t="s">
        <v>18</v>
      </c>
      <c r="AB51" s="42"/>
      <c r="AC51" s="6"/>
      <c r="AD51" s="38"/>
      <c r="AE51" s="3"/>
    </row>
    <row r="52" spans="2:31" ht="15.75">
      <c r="B52" s="79"/>
      <c r="C52" s="79"/>
      <c r="D52" s="79"/>
      <c r="E52" s="25"/>
      <c r="F52" s="25"/>
      <c r="G52" s="25"/>
      <c r="H52" s="79"/>
      <c r="I52" s="79"/>
      <c r="J52" s="79"/>
      <c r="K52" s="79"/>
      <c r="L52" s="79"/>
      <c r="M52" s="79"/>
      <c r="N52" s="79"/>
      <c r="O52" s="26"/>
      <c r="P52" s="26"/>
      <c r="Q52" s="26"/>
      <c r="R52" s="79" t="s">
        <v>95</v>
      </c>
      <c r="S52" s="79"/>
      <c r="T52" s="79"/>
      <c r="U52" s="79"/>
      <c r="V52" s="79"/>
      <c r="W52" s="79"/>
      <c r="X52" s="79"/>
      <c r="Z52" s="38"/>
      <c r="AA52" s="24" t="s">
        <v>19</v>
      </c>
      <c r="AB52" s="42"/>
      <c r="AC52" s="6"/>
      <c r="AD52" s="38"/>
      <c r="AE52" s="3"/>
    </row>
    <row r="53" spans="2:31" ht="15.75" customHeight="1">
      <c r="B53" s="81" t="s">
        <v>29</v>
      </c>
      <c r="C53" s="81"/>
      <c r="D53" s="81"/>
      <c r="H53" s="80" t="s">
        <v>30</v>
      </c>
      <c r="I53" s="80"/>
      <c r="J53" s="80"/>
      <c r="K53" s="80"/>
      <c r="L53" s="80"/>
      <c r="M53" s="80"/>
      <c r="N53" s="80"/>
      <c r="O53" s="13"/>
      <c r="P53" s="13"/>
      <c r="Q53" s="13"/>
      <c r="R53" s="80" t="s">
        <v>31</v>
      </c>
      <c r="S53" s="80"/>
      <c r="T53" s="80"/>
      <c r="U53" s="80"/>
      <c r="V53" s="80"/>
      <c r="W53" s="80"/>
      <c r="X53" s="80"/>
      <c r="Z53" s="38"/>
      <c r="AA53" s="24" t="s">
        <v>20</v>
      </c>
      <c r="AB53" s="7"/>
      <c r="AC53" s="38"/>
      <c r="AD53" s="38"/>
      <c r="AE53" s="3"/>
    </row>
    <row r="54" spans="2:31" ht="15.75">
      <c r="U54" s="3"/>
      <c r="Z54" s="38"/>
      <c r="AA54" s="24" t="s">
        <v>21</v>
      </c>
      <c r="AB54" s="42"/>
      <c r="AC54" s="6"/>
      <c r="AD54" s="38"/>
      <c r="AE54" s="3"/>
    </row>
    <row r="55" spans="2:31" ht="15.75">
      <c r="U55" s="3"/>
      <c r="Z55" s="38"/>
      <c r="AA55" s="24" t="s">
        <v>22</v>
      </c>
      <c r="AB55" s="42"/>
      <c r="AC55" s="6"/>
      <c r="AD55" s="38"/>
      <c r="AE55" s="3"/>
    </row>
    <row r="56" spans="2:31" ht="15.75">
      <c r="B56" s="21"/>
      <c r="C56" s="21"/>
      <c r="D56" s="21"/>
      <c r="E56" s="21"/>
      <c r="F56" s="21"/>
      <c r="G56" s="21"/>
      <c r="H56" s="21"/>
      <c r="I56" s="22"/>
      <c r="J56" s="22"/>
      <c r="K56" s="21"/>
      <c r="L56" s="21"/>
      <c r="M56" s="22"/>
      <c r="U56" s="7"/>
      <c r="Z56" s="38"/>
      <c r="AA56" s="24" t="s">
        <v>23</v>
      </c>
      <c r="AB56" s="7"/>
      <c r="AC56" s="38"/>
      <c r="AD56" s="38"/>
      <c r="AE56" s="3"/>
    </row>
    <row r="57" spans="2:31" ht="15.75">
      <c r="B57" s="21" t="s">
        <v>32</v>
      </c>
      <c r="C57" s="23"/>
      <c r="D57" s="23"/>
      <c r="E57" s="23"/>
      <c r="F57" s="23"/>
      <c r="G57" s="23"/>
      <c r="H57" s="23"/>
      <c r="I57" s="23"/>
      <c r="J57" s="24"/>
      <c r="K57" s="24"/>
      <c r="L57" s="23"/>
      <c r="M57" s="23"/>
      <c r="N57" s="22"/>
      <c r="O57" s="21"/>
      <c r="U57" s="3"/>
      <c r="Z57" s="38"/>
      <c r="AA57" s="24" t="s">
        <v>24</v>
      </c>
      <c r="AB57" s="7"/>
      <c r="AC57" s="38"/>
      <c r="AD57" s="38"/>
      <c r="AE57" s="3"/>
    </row>
    <row r="58" spans="2:31" ht="15.75">
      <c r="B58" s="22"/>
      <c r="C58" s="23"/>
      <c r="D58" s="24"/>
      <c r="E58" s="24"/>
      <c r="F58" s="24"/>
      <c r="G58" s="24"/>
      <c r="H58" s="24"/>
      <c r="I58" s="24"/>
      <c r="J58" s="24"/>
      <c r="K58" s="24"/>
      <c r="L58" s="23"/>
      <c r="M58" s="23"/>
      <c r="N58" s="22"/>
      <c r="O58" s="21"/>
      <c r="U58" s="3"/>
      <c r="Z58" s="38"/>
      <c r="AA58" s="24" t="s">
        <v>25</v>
      </c>
      <c r="AB58" s="7"/>
      <c r="AC58" s="38"/>
      <c r="AD58" s="38"/>
      <c r="AE58" s="3"/>
    </row>
    <row r="59" spans="2:31" ht="15.75">
      <c r="B59" s="22"/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2"/>
      <c r="O59" s="21"/>
      <c r="U59" s="3"/>
      <c r="Z59" s="38"/>
      <c r="AA59" s="40" t="s">
        <v>26</v>
      </c>
      <c r="AB59" s="43"/>
      <c r="AC59" s="39"/>
      <c r="AD59" s="38"/>
      <c r="AE59" s="3"/>
    </row>
    <row r="60" spans="2:31" ht="15.75">
      <c r="U60" s="3"/>
      <c r="Z60" s="39"/>
      <c r="AA60" s="40" t="s">
        <v>27</v>
      </c>
      <c r="AB60" s="43"/>
      <c r="AC60" s="39"/>
      <c r="AD60" s="39"/>
      <c r="AE60" s="9"/>
    </row>
    <row r="61" spans="2:31" ht="15.75">
      <c r="B61" s="20"/>
      <c r="C61" s="20"/>
      <c r="D61" s="20"/>
      <c r="E61" s="20"/>
      <c r="F61" s="20"/>
      <c r="G61" s="20"/>
      <c r="H61" s="20"/>
      <c r="I61" s="20"/>
      <c r="U61" s="8"/>
      <c r="Z61" s="39"/>
      <c r="AD61" s="39"/>
      <c r="AE61" s="9"/>
    </row>
    <row r="62" spans="2:31" ht="15.75">
      <c r="U62" s="8"/>
      <c r="Z62" s="39"/>
      <c r="AD62" s="39"/>
      <c r="AE62" s="9"/>
    </row>
  </sheetData>
  <sheetProtection insertRows="0"/>
  <mergeCells count="29">
    <mergeCell ref="B12:B14"/>
    <mergeCell ref="E47:F47"/>
    <mergeCell ref="AA13:AA14"/>
    <mergeCell ref="AB13:AB14"/>
    <mergeCell ref="AC13:AC14"/>
    <mergeCell ref="E12:E14"/>
    <mergeCell ref="AD13:AD14"/>
    <mergeCell ref="AE12:AE14"/>
    <mergeCell ref="F12:F14"/>
    <mergeCell ref="G12:G14"/>
    <mergeCell ref="X13:X14"/>
    <mergeCell ref="Y13:Y14"/>
    <mergeCell ref="Z13:Z14"/>
    <mergeCell ref="C2:AE3"/>
    <mergeCell ref="C4:AE5"/>
    <mergeCell ref="R49:U49"/>
    <mergeCell ref="R52:X52"/>
    <mergeCell ref="R53:X53"/>
    <mergeCell ref="B53:D53"/>
    <mergeCell ref="H52:N52"/>
    <mergeCell ref="H53:N53"/>
    <mergeCell ref="B52:D52"/>
    <mergeCell ref="H49:K49"/>
    <mergeCell ref="C8:F8"/>
    <mergeCell ref="C6:AE6"/>
    <mergeCell ref="D10:E10"/>
    <mergeCell ref="D9:E9"/>
    <mergeCell ref="C12:C14"/>
    <mergeCell ref="D12:D14"/>
  </mergeCells>
  <conditionalFormatting sqref="D23 C24:D28 E23:E28 F23:F29 C29:E29 C30:F30 M22:M26 P21:P24 G23:AD30 C31:AD46 AE23:AE46 C15:AE22">
    <cfRule type="containsBlanks" dxfId="227" priority="33">
      <formula>LEN(TRIM(C15))=0</formula>
    </cfRule>
  </conditionalFormatting>
  <conditionalFormatting sqref="H12:W12">
    <cfRule type="expression" priority="30">
      <formula>TEXT($D$9+COLUMN()-COLUMN($H$12),"ddd")="Sun"</formula>
    </cfRule>
    <cfRule type="expression" dxfId="226" priority="31">
      <formula>TEXT($D$9+COLUMN()-COLUMN($H$12),"ddd")="Sun"</formula>
    </cfRule>
  </conditionalFormatting>
  <conditionalFormatting sqref="H14:W14">
    <cfRule type="containsBlanks" dxfId="225" priority="4">
      <formula>LEN(TRIM(H14))=0</formula>
    </cfRule>
    <cfRule type="expression" dxfId="224" priority="5">
      <formula>EXACT(H14, "S")</formula>
    </cfRule>
    <cfRule type="expression" dxfId="223" priority="6">
      <formula>EXACT(H14, "R")</formula>
    </cfRule>
    <cfRule type="expression" dxfId="222" priority="7">
      <formula>EXACT(H14, "T")</formula>
    </cfRule>
    <cfRule type="containsText" dxfId="221" priority="8" operator="containsText" text="SH">
      <formula>NOT(ISERROR(SEARCH("SH",H14)))</formula>
    </cfRule>
    <cfRule type="expression" dxfId="220" priority="9">
      <formula>EXACT(H14, "RS")</formula>
    </cfRule>
    <cfRule type="containsText" dxfId="219" priority="10" operator="containsText" text="LH">
      <formula>NOT(ISERROR(SEARCH("LH",H14)))</formula>
    </cfRule>
    <cfRule type="expression" dxfId="218" priority="11">
      <formula>EXACT(H14, "LR")</formula>
    </cfRule>
    <cfRule type="expression" dxfId="217" priority="12">
      <formula>EXACT(H14, "L")</formula>
    </cfRule>
    <cfRule type="expression" dxfId="216" priority="13">
      <formula>EXACT(H14, "D")</formula>
    </cfRule>
    <cfRule type="expression" dxfId="215" priority="14">
      <formula>EXACT(H14, "A")</formula>
    </cfRule>
  </conditionalFormatting>
  <conditionalFormatting sqref="H15:W15 J16 M16:M19">
    <cfRule type="containsBlanks" dxfId="214" priority="15">
      <formula>LEN(TRIM(H15))=0</formula>
    </cfRule>
  </conditionalFormatting>
  <conditionalFormatting sqref="H15:W46">
    <cfRule type="containsText" dxfId="213" priority="1" operator="containsText" text="12">
      <formula>NOT(ISERROR(SEARCH("12",H15)))</formula>
    </cfRule>
    <cfRule type="expression" dxfId="212" priority="2">
      <formula>H$14="LH"</formula>
    </cfRule>
    <cfRule type="expression" dxfId="211" priority="3" stopIfTrue="1">
      <formula>H$14="SH"</formula>
    </cfRule>
    <cfRule type="expression" dxfId="210" priority="18">
      <formula>EXACT(H15, "S")</formula>
    </cfRule>
    <cfRule type="expression" dxfId="209" priority="19">
      <formula>EXACT(H15, "R")</formula>
    </cfRule>
    <cfRule type="expression" dxfId="208" priority="20">
      <formula>EXACT(H15, "T")</formula>
    </cfRule>
    <cfRule type="containsText" dxfId="207" priority="22" operator="containsText" text="SH">
      <formula>NOT(ISERROR(SEARCH("SH",H15)))</formula>
    </cfRule>
    <cfRule type="expression" dxfId="206" priority="23">
      <formula>EXACT(H15, "RS")</formula>
    </cfRule>
    <cfRule type="containsText" dxfId="205" priority="25" operator="containsText" text="RH">
      <formula>NOT(ISERROR(SEARCH("RH",H15)))</formula>
    </cfRule>
    <cfRule type="expression" dxfId="204" priority="26">
      <formula>EXACT(H15, "LR")</formula>
    </cfRule>
    <cfRule type="expression" dxfId="203" priority="27">
      <formula>EXACT(H15, "L")</formula>
    </cfRule>
    <cfRule type="expression" dxfId="202" priority="28">
      <formula>EXACT(H15, "D")</formula>
    </cfRule>
    <cfRule type="expression" dxfId="201" priority="29">
      <formula>EXACT(H15, "A")</formula>
    </cfRule>
  </conditionalFormatting>
  <dataValidations count="1">
    <dataValidation type="list" allowBlank="1" showInputMessage="1" showErrorMessage="1" sqref="H14:W14" xr:uid="{00000000-0002-0000-0000-000000000000}">
      <formula1>"SH, LH"</formula1>
    </dataValidation>
  </dataValidations>
  <pageMargins left="0" right="0" top="0" bottom="0.19685039370078741" header="0" footer="0"/>
  <pageSetup paperSize="9" scale="49" fitToHeight="0" orientation="landscape" r:id="rId1"/>
  <headerFooter scaleWithDoc="0"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Sheet3!$A$2:$A$54</xm:f>
          </x14:formula1>
          <xm:sqref>R20:W20 H20:P20 H15:W19 H21:W46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E62"/>
  <sheetViews>
    <sheetView view="pageBreakPreview" topLeftCell="A4" zoomScale="86" zoomScaleNormal="70" zoomScaleSheetLayoutView="86" workbookViewId="0">
      <selection activeCell="E16" sqref="E16"/>
    </sheetView>
  </sheetViews>
  <sheetFormatPr defaultColWidth="9.125" defaultRowHeight="14.25"/>
  <cols>
    <col min="1" max="1" width="4.125" style="5" customWidth="1"/>
    <col min="2" max="2" width="6.625" style="5" customWidth="1"/>
    <col min="3" max="3" width="25.625" style="5" customWidth="1"/>
    <col min="4" max="4" width="12" style="5" customWidth="1"/>
    <col min="5" max="5" width="18.625" style="5" customWidth="1"/>
    <col min="6" max="6" width="14.125" style="5" customWidth="1"/>
    <col min="7" max="7" width="12" style="5" customWidth="1"/>
    <col min="8" max="23" width="5.75" style="5" customWidth="1"/>
    <col min="24" max="30" width="10.375" style="37" customWidth="1"/>
    <col min="31" max="31" width="10.375" style="5" customWidth="1"/>
    <col min="32" max="16384" width="9.125" style="5"/>
  </cols>
  <sheetData>
    <row r="1" spans="2:31" ht="15" thickBot="1"/>
    <row r="2" spans="2:31" ht="15.75">
      <c r="B2" s="10"/>
      <c r="C2" s="69" t="s">
        <v>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1"/>
    </row>
    <row r="3" spans="2:31" ht="15.75">
      <c r="B3" s="11"/>
      <c r="C3" s="72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4"/>
    </row>
    <row r="4" spans="2:31" ht="15.75">
      <c r="B4" s="11"/>
      <c r="C4" s="75" t="s">
        <v>1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7"/>
    </row>
    <row r="5" spans="2:31" ht="15.75">
      <c r="B5" s="11"/>
      <c r="C5" s="72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4"/>
    </row>
    <row r="6" spans="2:31" ht="16.5" customHeight="1" thickBot="1">
      <c r="B6" s="12"/>
      <c r="C6" s="85" t="s">
        <v>53</v>
      </c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7"/>
    </row>
    <row r="7" spans="2:31" ht="23.25" customHeight="1">
      <c r="C7" s="64" t="s">
        <v>55</v>
      </c>
      <c r="G7" s="34"/>
      <c r="H7" s="34"/>
    </row>
    <row r="8" spans="2:31" ht="15" customHeight="1">
      <c r="B8" s="27"/>
      <c r="C8" s="82" t="s">
        <v>57</v>
      </c>
      <c r="D8" s="83"/>
      <c r="E8" s="83"/>
      <c r="F8" s="84"/>
      <c r="G8" s="13"/>
      <c r="H8" s="13"/>
      <c r="I8" s="35"/>
      <c r="J8" s="13"/>
      <c r="K8" s="13"/>
      <c r="L8" s="13"/>
    </row>
    <row r="9" spans="2:31" ht="15" customHeight="1">
      <c r="C9" s="14" t="s">
        <v>2</v>
      </c>
      <c r="D9" s="89">
        <v>45946</v>
      </c>
      <c r="E9" s="89"/>
      <c r="F9" s="30"/>
      <c r="G9" s="33"/>
      <c r="H9" s="15"/>
      <c r="I9" s="15"/>
      <c r="J9" s="15"/>
      <c r="K9" s="15"/>
    </row>
    <row r="10" spans="2:31" ht="15" customHeight="1">
      <c r="B10" s="28"/>
      <c r="C10" s="14" t="s">
        <v>3</v>
      </c>
      <c r="D10" s="88">
        <v>45961</v>
      </c>
      <c r="E10" s="88"/>
      <c r="F10" s="31"/>
      <c r="G10" s="32"/>
      <c r="H10" s="15"/>
      <c r="I10" s="15"/>
      <c r="J10" s="15"/>
      <c r="K10" s="15"/>
    </row>
    <row r="11" spans="2:31" ht="15" thickBot="1"/>
    <row r="12" spans="2:31" ht="21.75" customHeight="1">
      <c r="B12" s="90" t="s">
        <v>4</v>
      </c>
      <c r="C12" s="90" t="s">
        <v>5</v>
      </c>
      <c r="D12" s="90" t="s">
        <v>45</v>
      </c>
      <c r="E12" s="90" t="s">
        <v>44</v>
      </c>
      <c r="F12" s="90" t="s">
        <v>38</v>
      </c>
      <c r="G12" s="93" t="s">
        <v>39</v>
      </c>
      <c r="H12" s="52" t="str">
        <f>IF(COLUMN()-COLUMN($H$12)&lt;=$D$10-$D9+1, TEXT($D$9+COLUMN()-COLUMN($H$12),"ddd"), "")</f>
        <v>Thu</v>
      </c>
      <c r="I12" s="53" t="str">
        <f t="shared" ref="I12:V12" si="0">IF(COLUMN()-COLUMN($H$12)&lt;=$D$10-$D9+1, TEXT($D$9+COLUMN()-COLUMN($H$12),"ddd"), "")</f>
        <v>Fri</v>
      </c>
      <c r="J12" s="53" t="str">
        <f t="shared" si="0"/>
        <v>Sat</v>
      </c>
      <c r="K12" s="53" t="str">
        <f t="shared" si="0"/>
        <v>Sun</v>
      </c>
      <c r="L12" s="53" t="str">
        <f t="shared" si="0"/>
        <v>Mon</v>
      </c>
      <c r="M12" s="53" t="str">
        <f t="shared" si="0"/>
        <v>Tue</v>
      </c>
      <c r="N12" s="53" t="str">
        <f t="shared" si="0"/>
        <v>Wed</v>
      </c>
      <c r="O12" s="53" t="str">
        <f t="shared" si="0"/>
        <v>Thu</v>
      </c>
      <c r="P12" s="53" t="str">
        <f t="shared" si="0"/>
        <v>Fri</v>
      </c>
      <c r="Q12" s="53" t="str">
        <f t="shared" si="0"/>
        <v>Sat</v>
      </c>
      <c r="R12" s="53" t="str">
        <f t="shared" si="0"/>
        <v>Sun</v>
      </c>
      <c r="S12" s="53" t="str">
        <f t="shared" si="0"/>
        <v>Mon</v>
      </c>
      <c r="T12" s="53" t="str">
        <f t="shared" si="0"/>
        <v>Tue</v>
      </c>
      <c r="U12" s="53" t="str">
        <f t="shared" si="0"/>
        <v>Wed</v>
      </c>
      <c r="V12" s="53" t="str">
        <f t="shared" si="0"/>
        <v>Thu</v>
      </c>
      <c r="W12" s="54" t="s">
        <v>91</v>
      </c>
      <c r="X12" s="48" t="s">
        <v>6</v>
      </c>
      <c r="Y12" s="49" t="s">
        <v>6</v>
      </c>
      <c r="Z12" s="49" t="s">
        <v>8</v>
      </c>
      <c r="AA12" s="49" t="s">
        <v>10</v>
      </c>
      <c r="AB12" s="49" t="s">
        <v>11</v>
      </c>
      <c r="AC12" s="49" t="s">
        <v>36</v>
      </c>
      <c r="AD12" s="49" t="s">
        <v>12</v>
      </c>
      <c r="AE12" s="90" t="s">
        <v>37</v>
      </c>
    </row>
    <row r="13" spans="2:31" ht="13.5" customHeight="1">
      <c r="B13" s="91"/>
      <c r="C13" s="91"/>
      <c r="D13" s="91"/>
      <c r="E13" s="91"/>
      <c r="F13" s="91"/>
      <c r="G13" s="94"/>
      <c r="H13" s="55">
        <f t="shared" ref="H13:V13" si="1">IF(COLUMN()-COLUMN($H$13)&lt;=$D$10-$D$9+1, DAY($D$9+COLUMN()-COLUMN($H$13)), "")</f>
        <v>16</v>
      </c>
      <c r="I13" s="44">
        <f t="shared" si="1"/>
        <v>17</v>
      </c>
      <c r="J13" s="44">
        <f t="shared" si="1"/>
        <v>18</v>
      </c>
      <c r="K13" s="44">
        <f t="shared" si="1"/>
        <v>19</v>
      </c>
      <c r="L13" s="44">
        <f t="shared" si="1"/>
        <v>20</v>
      </c>
      <c r="M13" s="44">
        <f t="shared" si="1"/>
        <v>21</v>
      </c>
      <c r="N13" s="44">
        <f t="shared" si="1"/>
        <v>22</v>
      </c>
      <c r="O13" s="44">
        <f t="shared" si="1"/>
        <v>23</v>
      </c>
      <c r="P13" s="44">
        <f t="shared" si="1"/>
        <v>24</v>
      </c>
      <c r="Q13" s="44">
        <f t="shared" si="1"/>
        <v>25</v>
      </c>
      <c r="R13" s="44">
        <f t="shared" si="1"/>
        <v>26</v>
      </c>
      <c r="S13" s="44">
        <f t="shared" si="1"/>
        <v>27</v>
      </c>
      <c r="T13" s="44">
        <f t="shared" si="1"/>
        <v>28</v>
      </c>
      <c r="U13" s="44">
        <f t="shared" si="1"/>
        <v>29</v>
      </c>
      <c r="V13" s="44">
        <f t="shared" si="1"/>
        <v>30</v>
      </c>
      <c r="W13" s="56">
        <v>31</v>
      </c>
      <c r="X13" s="96" t="s">
        <v>15</v>
      </c>
      <c r="Y13" s="90" t="s">
        <v>7</v>
      </c>
      <c r="Z13" s="90" t="s">
        <v>9</v>
      </c>
      <c r="AA13" s="90" t="s">
        <v>14</v>
      </c>
      <c r="AB13" s="90" t="s">
        <v>13</v>
      </c>
      <c r="AC13" s="90" t="s">
        <v>35</v>
      </c>
      <c r="AD13" s="90" t="s">
        <v>13</v>
      </c>
      <c r="AE13" s="91"/>
    </row>
    <row r="14" spans="2:31" ht="11.25" customHeight="1">
      <c r="B14" s="92"/>
      <c r="C14" s="92"/>
      <c r="D14" s="92"/>
      <c r="E14" s="92"/>
      <c r="F14" s="92"/>
      <c r="G14" s="95"/>
      <c r="H14" s="57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58" t="s">
        <v>105</v>
      </c>
      <c r="X14" s="97"/>
      <c r="Y14" s="92"/>
      <c r="Z14" s="92"/>
      <c r="AA14" s="92"/>
      <c r="AB14" s="92"/>
      <c r="AC14" s="92"/>
      <c r="AD14" s="92"/>
      <c r="AE14" s="92"/>
    </row>
    <row r="15" spans="2:31" ht="24.95" customHeight="1">
      <c r="B15" s="16">
        <f>ROW()-14</f>
        <v>1</v>
      </c>
      <c r="C15" s="18" t="s">
        <v>93</v>
      </c>
      <c r="D15" s="18" t="s">
        <v>73</v>
      </c>
      <c r="E15" s="18" t="s">
        <v>50</v>
      </c>
      <c r="F15" s="18" t="s">
        <v>51</v>
      </c>
      <c r="G15" s="17" t="s">
        <v>56</v>
      </c>
      <c r="H15" s="59">
        <v>12</v>
      </c>
      <c r="I15" s="59">
        <v>12</v>
      </c>
      <c r="J15" s="59" t="s">
        <v>40</v>
      </c>
      <c r="K15" s="59">
        <v>12</v>
      </c>
      <c r="L15" s="59">
        <v>12</v>
      </c>
      <c r="M15" s="59">
        <v>12</v>
      </c>
      <c r="N15" s="59">
        <v>12</v>
      </c>
      <c r="O15" s="59">
        <v>12</v>
      </c>
      <c r="P15" s="59">
        <v>12</v>
      </c>
      <c r="Q15" s="59" t="s">
        <v>40</v>
      </c>
      <c r="R15" s="59">
        <v>12</v>
      </c>
      <c r="S15" s="59">
        <v>12</v>
      </c>
      <c r="T15" s="59">
        <v>12</v>
      </c>
      <c r="U15" s="59">
        <v>12</v>
      </c>
      <c r="V15" s="59">
        <v>12</v>
      </c>
      <c r="W15" s="59">
        <v>12</v>
      </c>
      <c r="X15" s="50" cm="1">
        <f t="array" ref="X15">SUMPRODUCT(--ISNUMBER(H15:W15), --($H$14:$W$14&lt;&gt;"LH"), --($H$14:$W$14&lt;&gt;"SH"))</f>
        <v>13</v>
      </c>
      <c r="Y15" s="19">
        <f>X15*8</f>
        <v>104</v>
      </c>
      <c r="Z15" s="19"/>
      <c r="AA15" s="19">
        <f>SUM(H15:W15)-AB15-AD15-Y15</f>
        <v>52</v>
      </c>
      <c r="AB15" s="19">
        <v>0</v>
      </c>
      <c r="AC15" s="19"/>
      <c r="AD15" s="19">
        <f>SUMIF($H$14:$W$14,"SH",$H15:$W15)</f>
        <v>12</v>
      </c>
      <c r="AE15" s="51"/>
    </row>
    <row r="16" spans="2:31" ht="24.95" customHeight="1">
      <c r="B16" s="16">
        <f t="shared" ref="B16:B46" si="2">ROW()-14</f>
        <v>2</v>
      </c>
      <c r="C16" s="18" t="s">
        <v>65</v>
      </c>
      <c r="D16" s="18" t="s">
        <v>74</v>
      </c>
      <c r="E16" s="18" t="s">
        <v>50</v>
      </c>
      <c r="F16" s="18" t="s">
        <v>51</v>
      </c>
      <c r="G16" s="17" t="s">
        <v>56</v>
      </c>
      <c r="H16" s="59">
        <v>12</v>
      </c>
      <c r="I16" s="59">
        <v>12</v>
      </c>
      <c r="J16" s="59">
        <v>12</v>
      </c>
      <c r="K16" s="59">
        <v>12</v>
      </c>
      <c r="L16" s="59">
        <v>12</v>
      </c>
      <c r="M16" s="59">
        <v>12</v>
      </c>
      <c r="N16" s="59" t="s">
        <v>40</v>
      </c>
      <c r="O16" s="59">
        <v>12</v>
      </c>
      <c r="P16" s="59">
        <v>12</v>
      </c>
      <c r="Q16" s="59">
        <v>12</v>
      </c>
      <c r="R16" s="59">
        <v>12</v>
      </c>
      <c r="S16" s="59">
        <v>12</v>
      </c>
      <c r="T16" s="59">
        <v>12</v>
      </c>
      <c r="U16" s="59" t="s">
        <v>40</v>
      </c>
      <c r="V16" s="59">
        <v>12</v>
      </c>
      <c r="W16" s="59">
        <v>12</v>
      </c>
      <c r="X16" s="50" cm="1">
        <f t="array" ref="X16">SUMPRODUCT(--ISNUMBER(H16:W16), --($H$14:$W$14&lt;&gt;"LH"), --($H$14:$W$14&lt;&gt;"SH"))</f>
        <v>13</v>
      </c>
      <c r="Y16" s="19">
        <f t="shared" ref="Y16:Y46" si="3">X16*8</f>
        <v>104</v>
      </c>
      <c r="Z16" s="19"/>
      <c r="AA16" s="19">
        <f t="shared" ref="AA16:AA46" si="4">SUM(H16:W16)-AB16-AD16-Y16</f>
        <v>52</v>
      </c>
      <c r="AB16" s="19">
        <v>0</v>
      </c>
      <c r="AC16" s="19"/>
      <c r="AD16" s="19">
        <f t="shared" ref="AD16:AD46" si="5">SUMIF($H$14:$W$14,"SH",$H16:$W16)</f>
        <v>12</v>
      </c>
      <c r="AE16" s="51"/>
    </row>
    <row r="17" spans="2:31" ht="24.95" customHeight="1">
      <c r="B17" s="16">
        <f t="shared" si="2"/>
        <v>3</v>
      </c>
      <c r="C17" s="18" t="s">
        <v>66</v>
      </c>
      <c r="D17" s="18" t="s">
        <v>75</v>
      </c>
      <c r="E17" s="18" t="s">
        <v>52</v>
      </c>
      <c r="F17" s="18" t="s">
        <v>51</v>
      </c>
      <c r="G17" s="17" t="s">
        <v>56</v>
      </c>
      <c r="H17" s="59">
        <v>12</v>
      </c>
      <c r="I17" s="59" t="s">
        <v>40</v>
      </c>
      <c r="J17" s="59">
        <v>12</v>
      </c>
      <c r="K17" s="59">
        <v>12</v>
      </c>
      <c r="L17" s="59">
        <v>12</v>
      </c>
      <c r="M17" s="59">
        <v>12</v>
      </c>
      <c r="N17" s="59">
        <v>12</v>
      </c>
      <c r="O17" s="59">
        <v>12</v>
      </c>
      <c r="P17" s="59" t="s">
        <v>40</v>
      </c>
      <c r="Q17" s="59">
        <v>12</v>
      </c>
      <c r="R17" s="59">
        <v>12</v>
      </c>
      <c r="S17" s="59">
        <v>12</v>
      </c>
      <c r="T17" s="59">
        <v>12</v>
      </c>
      <c r="U17" s="59">
        <v>12</v>
      </c>
      <c r="V17" s="59">
        <v>12</v>
      </c>
      <c r="W17" s="59" t="s">
        <v>40</v>
      </c>
      <c r="X17" s="50" cm="1">
        <f t="array" ref="X17">SUMPRODUCT(--ISNUMBER(H17:W17), --($H$14:$W$14&lt;&gt;"LH"), --($H$14:$W$14&lt;&gt;"SH"))</f>
        <v>13</v>
      </c>
      <c r="Y17" s="19">
        <f t="shared" si="3"/>
        <v>104</v>
      </c>
      <c r="Z17" s="19"/>
      <c r="AA17" s="19">
        <f t="shared" si="4"/>
        <v>52</v>
      </c>
      <c r="AB17" s="19">
        <v>0</v>
      </c>
      <c r="AC17" s="19"/>
      <c r="AD17" s="19">
        <f t="shared" si="5"/>
        <v>0</v>
      </c>
      <c r="AE17" s="51"/>
    </row>
    <row r="18" spans="2:31" ht="24.95" customHeight="1">
      <c r="B18" s="16">
        <f t="shared" si="2"/>
        <v>4</v>
      </c>
      <c r="C18" s="18" t="s">
        <v>67</v>
      </c>
      <c r="D18" s="18" t="s">
        <v>76</v>
      </c>
      <c r="E18" s="18" t="s">
        <v>52</v>
      </c>
      <c r="F18" s="18" t="s">
        <v>51</v>
      </c>
      <c r="G18" s="17" t="s">
        <v>56</v>
      </c>
      <c r="H18" s="59">
        <v>12</v>
      </c>
      <c r="I18" s="59">
        <v>12</v>
      </c>
      <c r="J18" s="59" t="s">
        <v>40</v>
      </c>
      <c r="K18" s="59">
        <v>12</v>
      </c>
      <c r="L18" s="59">
        <v>12</v>
      </c>
      <c r="M18" s="59">
        <v>12</v>
      </c>
      <c r="N18" s="59">
        <v>12</v>
      </c>
      <c r="O18" s="59">
        <v>12</v>
      </c>
      <c r="P18" s="59">
        <v>12</v>
      </c>
      <c r="Q18" s="59" t="s">
        <v>40</v>
      </c>
      <c r="R18" s="59">
        <v>12</v>
      </c>
      <c r="S18" s="59">
        <v>12</v>
      </c>
      <c r="T18" s="59">
        <v>12</v>
      </c>
      <c r="U18" s="59">
        <v>12</v>
      </c>
      <c r="V18" s="59">
        <v>12</v>
      </c>
      <c r="W18" s="59">
        <v>12</v>
      </c>
      <c r="X18" s="50" cm="1">
        <f t="array" ref="X18">SUMPRODUCT(--ISNUMBER(H18:W18), --($H$14:$W$14&lt;&gt;"LH"), --($H$14:$W$14&lt;&gt;"SH"))</f>
        <v>13</v>
      </c>
      <c r="Y18" s="19">
        <f t="shared" si="3"/>
        <v>104</v>
      </c>
      <c r="Z18" s="19"/>
      <c r="AA18" s="19">
        <f t="shared" si="4"/>
        <v>52</v>
      </c>
      <c r="AB18" s="19">
        <v>0</v>
      </c>
      <c r="AC18" s="19"/>
      <c r="AD18" s="19">
        <f t="shared" si="5"/>
        <v>12</v>
      </c>
      <c r="AE18" s="51"/>
    </row>
    <row r="19" spans="2:31" ht="24.95" customHeight="1">
      <c r="B19" s="16">
        <f t="shared" si="2"/>
        <v>5</v>
      </c>
      <c r="C19" s="18" t="s">
        <v>58</v>
      </c>
      <c r="D19" s="18" t="s">
        <v>77</v>
      </c>
      <c r="E19" s="18" t="s">
        <v>52</v>
      </c>
      <c r="F19" s="18" t="s">
        <v>51</v>
      </c>
      <c r="G19" s="17" t="s">
        <v>56</v>
      </c>
      <c r="H19" s="59" t="s">
        <v>40</v>
      </c>
      <c r="I19" s="59">
        <v>12</v>
      </c>
      <c r="J19" s="59">
        <v>12</v>
      </c>
      <c r="K19" s="59">
        <v>12</v>
      </c>
      <c r="L19" s="59">
        <v>12</v>
      </c>
      <c r="M19" s="59">
        <v>12</v>
      </c>
      <c r="N19" s="59">
        <v>12</v>
      </c>
      <c r="O19" s="59" t="s">
        <v>40</v>
      </c>
      <c r="P19" s="59">
        <v>12</v>
      </c>
      <c r="Q19" s="59">
        <v>12</v>
      </c>
      <c r="R19" s="59">
        <v>12</v>
      </c>
      <c r="S19" s="59">
        <v>12</v>
      </c>
      <c r="T19" s="59">
        <v>12</v>
      </c>
      <c r="U19" s="59">
        <v>12</v>
      </c>
      <c r="V19" s="59" t="s">
        <v>40</v>
      </c>
      <c r="W19" s="59">
        <v>12</v>
      </c>
      <c r="X19" s="50" cm="1">
        <f t="array" ref="X19">SUMPRODUCT(--ISNUMBER(H19:W19), --($H$14:$W$14&lt;&gt;"LH"), --($H$14:$W$14&lt;&gt;"SH"))</f>
        <v>12</v>
      </c>
      <c r="Y19" s="19">
        <f t="shared" si="3"/>
        <v>96</v>
      </c>
      <c r="Z19" s="19"/>
      <c r="AA19" s="19">
        <f t="shared" si="4"/>
        <v>48</v>
      </c>
      <c r="AB19" s="19">
        <f t="shared" ref="AB19:AB46" si="6">SUMIF($H$14:$W$14,"LH",$H19:$W19)</f>
        <v>0</v>
      </c>
      <c r="AC19" s="19"/>
      <c r="AD19" s="19">
        <f t="shared" si="5"/>
        <v>12</v>
      </c>
      <c r="AE19" s="51"/>
    </row>
    <row r="20" spans="2:31" ht="24.95" customHeight="1">
      <c r="B20" s="16">
        <f t="shared" si="2"/>
        <v>6</v>
      </c>
      <c r="C20" s="18" t="s">
        <v>59</v>
      </c>
      <c r="D20" s="18" t="s">
        <v>78</v>
      </c>
      <c r="E20" s="18" t="s">
        <v>52</v>
      </c>
      <c r="F20" s="18" t="s">
        <v>51</v>
      </c>
      <c r="G20" s="17" t="s">
        <v>56</v>
      </c>
      <c r="H20" s="59">
        <v>12</v>
      </c>
      <c r="I20" s="59">
        <v>12</v>
      </c>
      <c r="J20" s="59">
        <v>12</v>
      </c>
      <c r="K20" s="59">
        <v>12</v>
      </c>
      <c r="L20" s="59" t="s">
        <v>40</v>
      </c>
      <c r="M20" s="59">
        <v>12</v>
      </c>
      <c r="N20" s="59">
        <v>12</v>
      </c>
      <c r="O20" s="59">
        <v>12</v>
      </c>
      <c r="P20" s="59">
        <v>12</v>
      </c>
      <c r="Q20" s="59">
        <v>12</v>
      </c>
      <c r="R20" s="59">
        <v>12</v>
      </c>
      <c r="S20" s="59" t="s">
        <v>40</v>
      </c>
      <c r="T20" s="59">
        <v>12</v>
      </c>
      <c r="U20" s="59">
        <v>12</v>
      </c>
      <c r="V20" s="59">
        <v>12</v>
      </c>
      <c r="W20" s="59">
        <v>12</v>
      </c>
      <c r="X20" s="50" cm="1">
        <f t="array" ref="X20">SUMPRODUCT(--ISNUMBER(H20:W20), --($H$14:$W$14&lt;&gt;"LH"), --($H$14:$W$14&lt;&gt;"SH"))</f>
        <v>13</v>
      </c>
      <c r="Y20" s="19">
        <f t="shared" si="3"/>
        <v>104</v>
      </c>
      <c r="Z20" s="19"/>
      <c r="AA20" s="19">
        <f t="shared" si="4"/>
        <v>52</v>
      </c>
      <c r="AB20" s="19">
        <f t="shared" si="6"/>
        <v>0</v>
      </c>
      <c r="AC20" s="19"/>
      <c r="AD20" s="19">
        <f t="shared" si="5"/>
        <v>12</v>
      </c>
      <c r="AE20" s="51"/>
    </row>
    <row r="21" spans="2:31" ht="24.95" customHeight="1">
      <c r="B21" s="16">
        <f t="shared" si="2"/>
        <v>7</v>
      </c>
      <c r="C21" s="18" t="s">
        <v>72</v>
      </c>
      <c r="D21" s="18" t="s">
        <v>79</v>
      </c>
      <c r="E21" s="18" t="s">
        <v>52</v>
      </c>
      <c r="F21" s="18" t="s">
        <v>51</v>
      </c>
      <c r="G21" s="17" t="s">
        <v>56</v>
      </c>
      <c r="H21" s="59">
        <v>12</v>
      </c>
      <c r="I21" s="59">
        <v>12</v>
      </c>
      <c r="J21" s="59">
        <v>12</v>
      </c>
      <c r="K21" s="59">
        <v>12</v>
      </c>
      <c r="L21" s="59">
        <v>12</v>
      </c>
      <c r="M21" s="59" t="s">
        <v>40</v>
      </c>
      <c r="N21" s="59">
        <v>12</v>
      </c>
      <c r="O21" s="59">
        <v>12</v>
      </c>
      <c r="P21" s="59">
        <v>12</v>
      </c>
      <c r="Q21" s="59">
        <v>12</v>
      </c>
      <c r="R21" s="59">
        <v>12</v>
      </c>
      <c r="S21" s="59">
        <v>12</v>
      </c>
      <c r="T21" s="59" t="s">
        <v>40</v>
      </c>
      <c r="U21" s="59">
        <v>12</v>
      </c>
      <c r="V21" s="59">
        <v>12</v>
      </c>
      <c r="W21" s="59">
        <v>12</v>
      </c>
      <c r="X21" s="50" cm="1">
        <f t="array" ref="X21">SUMPRODUCT(--ISNUMBER(H21:W21), --($H$14:$W$14&lt;&gt;"LH"), --($H$14:$W$14&lt;&gt;"SH"))</f>
        <v>13</v>
      </c>
      <c r="Y21" s="19">
        <f t="shared" si="3"/>
        <v>104</v>
      </c>
      <c r="Z21" s="19"/>
      <c r="AA21" s="19">
        <f t="shared" si="4"/>
        <v>52</v>
      </c>
      <c r="AB21" s="19">
        <f t="shared" si="6"/>
        <v>0</v>
      </c>
      <c r="AC21" s="19"/>
      <c r="AD21" s="19">
        <f t="shared" si="5"/>
        <v>12</v>
      </c>
      <c r="AE21" s="51"/>
    </row>
    <row r="22" spans="2:31" ht="24.95" customHeight="1">
      <c r="B22" s="16">
        <f t="shared" si="2"/>
        <v>8</v>
      </c>
      <c r="C22" s="18" t="s">
        <v>68</v>
      </c>
      <c r="D22" s="18" t="s">
        <v>80</v>
      </c>
      <c r="E22" s="18" t="s">
        <v>70</v>
      </c>
      <c r="F22" s="18" t="s">
        <v>51</v>
      </c>
      <c r="G22" s="17" t="s">
        <v>56</v>
      </c>
      <c r="H22" s="59">
        <v>12</v>
      </c>
      <c r="I22" s="59">
        <v>12</v>
      </c>
      <c r="J22" s="59">
        <v>12</v>
      </c>
      <c r="K22" s="59" t="s">
        <v>40</v>
      </c>
      <c r="L22" s="59">
        <v>12</v>
      </c>
      <c r="M22" s="59">
        <v>12</v>
      </c>
      <c r="N22" s="59">
        <v>12</v>
      </c>
      <c r="O22" s="59">
        <v>12</v>
      </c>
      <c r="P22" s="59">
        <v>12</v>
      </c>
      <c r="Q22" s="59">
        <v>12</v>
      </c>
      <c r="R22" s="59" t="s">
        <v>40</v>
      </c>
      <c r="S22" s="59">
        <v>12</v>
      </c>
      <c r="T22" s="59">
        <v>12</v>
      </c>
      <c r="U22" s="59">
        <v>12</v>
      </c>
      <c r="V22" s="59">
        <v>12</v>
      </c>
      <c r="W22" s="59">
        <v>12</v>
      </c>
      <c r="X22" s="50" cm="1">
        <f t="array" ref="X22">SUMPRODUCT(--ISNUMBER(H22:W22), --($H$14:$W$14&lt;&gt;"LH"), --($H$14:$W$14&lt;&gt;"SH"))</f>
        <v>13</v>
      </c>
      <c r="Y22" s="19">
        <f t="shared" si="3"/>
        <v>104</v>
      </c>
      <c r="Z22" s="19"/>
      <c r="AA22" s="19">
        <f t="shared" si="4"/>
        <v>52</v>
      </c>
      <c r="AB22" s="19">
        <f t="shared" si="6"/>
        <v>0</v>
      </c>
      <c r="AC22" s="19"/>
      <c r="AD22" s="19">
        <f t="shared" si="5"/>
        <v>12</v>
      </c>
      <c r="AE22" s="65"/>
    </row>
    <row r="23" spans="2:31" ht="24.95" customHeight="1">
      <c r="B23" s="16">
        <f t="shared" si="2"/>
        <v>9</v>
      </c>
      <c r="C23" s="5" t="s">
        <v>106</v>
      </c>
      <c r="D23" s="18" t="s">
        <v>81</v>
      </c>
      <c r="E23" s="18" t="s">
        <v>52</v>
      </c>
      <c r="F23" s="18" t="s">
        <v>60</v>
      </c>
      <c r="G23" s="17" t="s">
        <v>89</v>
      </c>
      <c r="H23" s="59">
        <v>12</v>
      </c>
      <c r="I23" s="59">
        <v>12</v>
      </c>
      <c r="J23" s="59">
        <v>12</v>
      </c>
      <c r="K23" s="59" t="s">
        <v>40</v>
      </c>
      <c r="L23" s="59">
        <v>12</v>
      </c>
      <c r="M23" s="59">
        <v>12</v>
      </c>
      <c r="N23" s="59">
        <v>12</v>
      </c>
      <c r="O23" s="59">
        <v>12</v>
      </c>
      <c r="P23" s="59">
        <v>12</v>
      </c>
      <c r="Q23" s="59">
        <v>12</v>
      </c>
      <c r="R23" s="59" t="s">
        <v>40</v>
      </c>
      <c r="S23" s="59">
        <v>12</v>
      </c>
      <c r="T23" s="59">
        <v>12</v>
      </c>
      <c r="U23" s="59">
        <v>12</v>
      </c>
      <c r="V23" s="59">
        <v>12</v>
      </c>
      <c r="W23" s="59">
        <v>12</v>
      </c>
      <c r="X23" s="50" cm="1">
        <f t="array" ref="X23">SUMPRODUCT(--ISNUMBER(H23:W23), --($H$14:$W$14&lt;&gt;"LH"), --($H$14:$W$14&lt;&gt;"SH"))</f>
        <v>13</v>
      </c>
      <c r="Y23" s="19">
        <f t="shared" si="3"/>
        <v>104</v>
      </c>
      <c r="Z23" s="19"/>
      <c r="AA23" s="19">
        <f t="shared" si="4"/>
        <v>52</v>
      </c>
      <c r="AB23" s="19">
        <f t="shared" si="6"/>
        <v>0</v>
      </c>
      <c r="AC23" s="19"/>
      <c r="AD23" s="19">
        <f t="shared" si="5"/>
        <v>12</v>
      </c>
      <c r="AE23" s="65"/>
    </row>
    <row r="24" spans="2:31" ht="24.95" customHeight="1">
      <c r="B24" s="16">
        <f t="shared" si="2"/>
        <v>10</v>
      </c>
      <c r="C24" s="18" t="s">
        <v>61</v>
      </c>
      <c r="D24" s="18" t="s">
        <v>82</v>
      </c>
      <c r="E24" s="18" t="s">
        <v>52</v>
      </c>
      <c r="F24" s="18" t="s">
        <v>60</v>
      </c>
      <c r="G24" s="17" t="s">
        <v>89</v>
      </c>
      <c r="H24" s="59">
        <v>12</v>
      </c>
      <c r="I24" s="59">
        <v>12</v>
      </c>
      <c r="J24" s="59">
        <v>12</v>
      </c>
      <c r="K24" s="59">
        <v>12</v>
      </c>
      <c r="L24" s="59">
        <v>12</v>
      </c>
      <c r="M24" s="59">
        <v>12</v>
      </c>
      <c r="N24" s="59" t="s">
        <v>40</v>
      </c>
      <c r="O24" s="59">
        <v>12</v>
      </c>
      <c r="P24" s="59">
        <v>12</v>
      </c>
      <c r="Q24" s="59">
        <v>12</v>
      </c>
      <c r="R24" s="59">
        <v>12</v>
      </c>
      <c r="S24" s="59">
        <v>12</v>
      </c>
      <c r="T24" s="59">
        <v>12</v>
      </c>
      <c r="U24" s="59" t="s">
        <v>40</v>
      </c>
      <c r="V24" s="59">
        <v>12</v>
      </c>
      <c r="W24" s="59">
        <v>12</v>
      </c>
      <c r="X24" s="50" cm="1">
        <f t="array" ref="X24">SUMPRODUCT(--ISNUMBER(H24:W24), --($H$14:$W$14&lt;&gt;"LH"), --($H$14:$W$14&lt;&gt;"SH"))</f>
        <v>13</v>
      </c>
      <c r="Y24" s="19">
        <f t="shared" si="3"/>
        <v>104</v>
      </c>
      <c r="Z24" s="19"/>
      <c r="AA24" s="19">
        <f t="shared" si="4"/>
        <v>52</v>
      </c>
      <c r="AB24" s="19">
        <f t="shared" si="6"/>
        <v>0</v>
      </c>
      <c r="AC24" s="19"/>
      <c r="AD24" s="19">
        <f t="shared" si="5"/>
        <v>12</v>
      </c>
      <c r="AE24" s="65"/>
    </row>
    <row r="25" spans="2:31" ht="24.95" customHeight="1">
      <c r="B25" s="16">
        <f t="shared" si="2"/>
        <v>11</v>
      </c>
      <c r="C25" s="18" t="s">
        <v>92</v>
      </c>
      <c r="D25" s="18" t="s">
        <v>83</v>
      </c>
      <c r="E25" s="18" t="s">
        <v>52</v>
      </c>
      <c r="F25" s="18" t="s">
        <v>60</v>
      </c>
      <c r="G25" s="17" t="s">
        <v>89</v>
      </c>
      <c r="H25" s="59" t="s">
        <v>40</v>
      </c>
      <c r="I25" s="59">
        <v>12</v>
      </c>
      <c r="J25" s="59">
        <v>12</v>
      </c>
      <c r="K25" s="59">
        <v>12</v>
      </c>
      <c r="L25" s="59">
        <v>12</v>
      </c>
      <c r="M25" s="59">
        <v>12</v>
      </c>
      <c r="N25" s="59">
        <v>12</v>
      </c>
      <c r="O25" s="59" t="s">
        <v>40</v>
      </c>
      <c r="P25" s="59">
        <v>12</v>
      </c>
      <c r="Q25" s="59">
        <v>12</v>
      </c>
      <c r="R25" s="59">
        <v>12</v>
      </c>
      <c r="S25" s="59">
        <v>12</v>
      </c>
      <c r="T25" s="59">
        <v>12</v>
      </c>
      <c r="U25" s="59">
        <v>12</v>
      </c>
      <c r="V25" s="59" t="s">
        <v>40</v>
      </c>
      <c r="W25" s="59">
        <v>12</v>
      </c>
      <c r="X25" s="50" cm="1">
        <f t="array" ref="X25">SUMPRODUCT(--ISNUMBER(H25:W25), --($H$14:$W$14&lt;&gt;"LH"), --($H$14:$W$14&lt;&gt;"SH"))</f>
        <v>12</v>
      </c>
      <c r="Y25" s="19">
        <f t="shared" si="3"/>
        <v>96</v>
      </c>
      <c r="Z25" s="19"/>
      <c r="AA25" s="19">
        <f t="shared" si="4"/>
        <v>48</v>
      </c>
      <c r="AB25" s="19">
        <f t="shared" si="6"/>
        <v>0</v>
      </c>
      <c r="AC25" s="19"/>
      <c r="AD25" s="19">
        <f t="shared" si="5"/>
        <v>12</v>
      </c>
      <c r="AE25" s="65"/>
    </row>
    <row r="26" spans="2:31" ht="24.95" customHeight="1">
      <c r="B26" s="16">
        <f t="shared" si="2"/>
        <v>12</v>
      </c>
      <c r="C26" s="18" t="s">
        <v>62</v>
      </c>
      <c r="D26" s="18" t="s">
        <v>84</v>
      </c>
      <c r="E26" s="18" t="s">
        <v>52</v>
      </c>
      <c r="F26" s="18" t="s">
        <v>60</v>
      </c>
      <c r="G26" s="17" t="s">
        <v>89</v>
      </c>
      <c r="H26" s="59">
        <v>12</v>
      </c>
      <c r="I26" s="59">
        <v>12</v>
      </c>
      <c r="J26" s="59">
        <v>12</v>
      </c>
      <c r="K26" s="59">
        <v>12</v>
      </c>
      <c r="L26" s="59">
        <v>12</v>
      </c>
      <c r="M26" s="59">
        <v>12</v>
      </c>
      <c r="N26" s="59">
        <v>12</v>
      </c>
      <c r="O26" s="59">
        <v>12</v>
      </c>
      <c r="P26" s="59">
        <v>12</v>
      </c>
      <c r="Q26" s="59" t="s">
        <v>40</v>
      </c>
      <c r="R26" s="59">
        <v>12</v>
      </c>
      <c r="S26" s="59">
        <v>12</v>
      </c>
      <c r="T26" s="59">
        <v>12</v>
      </c>
      <c r="U26" s="59">
        <v>12</v>
      </c>
      <c r="V26" s="59">
        <v>12</v>
      </c>
      <c r="W26" s="59">
        <v>12</v>
      </c>
      <c r="X26" s="50" cm="1">
        <f t="array" ref="X26">SUMPRODUCT(--ISNUMBER(H26:W26), --($H$14:$W$14&lt;&gt;"LH"), --($H$14:$W$14&lt;&gt;"SH"))</f>
        <v>14</v>
      </c>
      <c r="Y26" s="19">
        <f t="shared" si="3"/>
        <v>112</v>
      </c>
      <c r="Z26" s="19"/>
      <c r="AA26" s="19">
        <f t="shared" si="4"/>
        <v>56</v>
      </c>
      <c r="AB26" s="19">
        <f t="shared" si="6"/>
        <v>0</v>
      </c>
      <c r="AC26" s="19"/>
      <c r="AD26" s="19">
        <f t="shared" si="5"/>
        <v>12</v>
      </c>
      <c r="AE26" s="65"/>
    </row>
    <row r="27" spans="2:31" ht="24.95" customHeight="1">
      <c r="B27" s="16">
        <f t="shared" si="2"/>
        <v>13</v>
      </c>
      <c r="C27" s="18" t="s">
        <v>63</v>
      </c>
      <c r="D27" s="18" t="s">
        <v>85</v>
      </c>
      <c r="E27" s="18" t="s">
        <v>52</v>
      </c>
      <c r="F27" s="18" t="s">
        <v>60</v>
      </c>
      <c r="G27" s="17" t="s">
        <v>89</v>
      </c>
      <c r="H27" s="59">
        <v>12</v>
      </c>
      <c r="I27" s="59">
        <v>12</v>
      </c>
      <c r="J27" s="59">
        <v>12</v>
      </c>
      <c r="K27" s="59">
        <v>12</v>
      </c>
      <c r="L27" s="59" t="s">
        <v>40</v>
      </c>
      <c r="M27" s="59">
        <v>12</v>
      </c>
      <c r="N27" s="59">
        <v>12</v>
      </c>
      <c r="O27" s="59">
        <v>12</v>
      </c>
      <c r="P27" s="59">
        <v>12</v>
      </c>
      <c r="Q27" s="59">
        <v>12</v>
      </c>
      <c r="R27" s="59">
        <v>12</v>
      </c>
      <c r="S27" s="59" t="s">
        <v>40</v>
      </c>
      <c r="T27" s="59">
        <v>12</v>
      </c>
      <c r="U27" s="59">
        <v>12</v>
      </c>
      <c r="V27" s="59">
        <v>12</v>
      </c>
      <c r="W27" s="59">
        <v>12</v>
      </c>
      <c r="X27" s="50" cm="1">
        <f t="array" ref="X27">SUMPRODUCT(--ISNUMBER(H27:W27), --($H$14:$W$14&lt;&gt;"LH"), --($H$14:$W$14&lt;&gt;"SH"))</f>
        <v>13</v>
      </c>
      <c r="Y27" s="19">
        <f t="shared" si="3"/>
        <v>104</v>
      </c>
      <c r="Z27" s="19"/>
      <c r="AA27" s="19">
        <f t="shared" si="4"/>
        <v>52</v>
      </c>
      <c r="AB27" s="19">
        <f t="shared" si="6"/>
        <v>0</v>
      </c>
      <c r="AC27" s="19"/>
      <c r="AD27" s="19">
        <f t="shared" si="5"/>
        <v>12</v>
      </c>
      <c r="AE27" s="65"/>
    </row>
    <row r="28" spans="2:31" ht="24.95" customHeight="1">
      <c r="B28" s="16">
        <f t="shared" si="2"/>
        <v>14</v>
      </c>
      <c r="C28" s="18" t="s">
        <v>64</v>
      </c>
      <c r="D28" s="18" t="s">
        <v>86</v>
      </c>
      <c r="E28" s="18" t="s">
        <v>52</v>
      </c>
      <c r="F28" s="18" t="s">
        <v>60</v>
      </c>
      <c r="G28" s="17" t="s">
        <v>89</v>
      </c>
      <c r="H28" s="59">
        <v>12</v>
      </c>
      <c r="I28" s="59">
        <v>12</v>
      </c>
      <c r="J28" s="59">
        <v>12</v>
      </c>
      <c r="K28" s="59">
        <v>12</v>
      </c>
      <c r="L28" s="59">
        <v>12</v>
      </c>
      <c r="M28" s="59" t="s">
        <v>40</v>
      </c>
      <c r="N28" s="59">
        <v>12</v>
      </c>
      <c r="O28" s="59">
        <v>12</v>
      </c>
      <c r="P28" s="59">
        <v>12</v>
      </c>
      <c r="Q28" s="59">
        <v>12</v>
      </c>
      <c r="R28" s="59">
        <v>12</v>
      </c>
      <c r="S28" s="59">
        <v>12</v>
      </c>
      <c r="T28" s="59" t="s">
        <v>40</v>
      </c>
      <c r="U28" s="59">
        <v>12</v>
      </c>
      <c r="V28" s="59">
        <v>12</v>
      </c>
      <c r="W28" s="59">
        <v>12</v>
      </c>
      <c r="X28" s="50" cm="1">
        <f t="array" ref="X28">SUMPRODUCT(--ISNUMBER(H28:W28), --($H$14:$W$14&lt;&gt;"LH"), --($H$14:$W$14&lt;&gt;"SH"))</f>
        <v>13</v>
      </c>
      <c r="Y28" s="19">
        <f t="shared" si="3"/>
        <v>104</v>
      </c>
      <c r="Z28" s="19"/>
      <c r="AA28" s="19">
        <f t="shared" si="4"/>
        <v>52</v>
      </c>
      <c r="AB28" s="19">
        <f t="shared" si="6"/>
        <v>0</v>
      </c>
      <c r="AC28" s="19"/>
      <c r="AD28" s="19">
        <f t="shared" si="5"/>
        <v>12</v>
      </c>
      <c r="AE28" s="65"/>
    </row>
    <row r="29" spans="2:31" ht="24.95" customHeight="1">
      <c r="B29" s="16">
        <f t="shared" si="2"/>
        <v>15</v>
      </c>
      <c r="C29" s="18" t="s">
        <v>71</v>
      </c>
      <c r="D29" s="18" t="s">
        <v>87</v>
      </c>
      <c r="E29" s="18" t="s">
        <v>52</v>
      </c>
      <c r="F29" s="18" t="s">
        <v>60</v>
      </c>
      <c r="G29" s="17" t="s">
        <v>89</v>
      </c>
      <c r="H29" s="59">
        <v>12</v>
      </c>
      <c r="I29" s="59" t="s">
        <v>40</v>
      </c>
      <c r="J29" s="59" t="s">
        <v>40</v>
      </c>
      <c r="K29" s="59">
        <v>12</v>
      </c>
      <c r="L29" s="59">
        <v>12</v>
      </c>
      <c r="M29" s="59">
        <v>12</v>
      </c>
      <c r="N29" s="59">
        <v>12</v>
      </c>
      <c r="O29" s="59">
        <v>12</v>
      </c>
      <c r="P29" s="59" t="s">
        <v>40</v>
      </c>
      <c r="Q29" s="59">
        <v>12</v>
      </c>
      <c r="R29" s="59">
        <v>12</v>
      </c>
      <c r="S29" s="59">
        <v>12</v>
      </c>
      <c r="T29" s="59">
        <v>12</v>
      </c>
      <c r="U29" s="59">
        <v>12</v>
      </c>
      <c r="V29" s="59">
        <v>12</v>
      </c>
      <c r="W29" s="59" t="s">
        <v>40</v>
      </c>
      <c r="X29" s="50" cm="1">
        <f t="array" ref="X29">SUMPRODUCT(--ISNUMBER(H29:W29), --($H$14:$W$14&lt;&gt;"LH"), --($H$14:$W$14&lt;&gt;"SH"))</f>
        <v>12</v>
      </c>
      <c r="Y29" s="19">
        <f t="shared" si="3"/>
        <v>96</v>
      </c>
      <c r="Z29" s="19"/>
      <c r="AA29" s="19">
        <f t="shared" si="4"/>
        <v>48</v>
      </c>
      <c r="AB29" s="19">
        <f t="shared" si="6"/>
        <v>0</v>
      </c>
      <c r="AC29" s="19"/>
      <c r="AD29" s="19">
        <f t="shared" si="5"/>
        <v>0</v>
      </c>
      <c r="AE29" s="65"/>
    </row>
    <row r="30" spans="2:31" ht="24.95" customHeight="1">
      <c r="B30" s="16">
        <f t="shared" si="2"/>
        <v>16</v>
      </c>
      <c r="C30" s="18" t="s">
        <v>69</v>
      </c>
      <c r="D30" s="18" t="s">
        <v>88</v>
      </c>
      <c r="E30" s="18" t="s">
        <v>70</v>
      </c>
      <c r="F30" s="18" t="s">
        <v>60</v>
      </c>
      <c r="G30" s="17" t="s">
        <v>89</v>
      </c>
      <c r="H30" s="59">
        <v>12</v>
      </c>
      <c r="I30" s="59">
        <v>12</v>
      </c>
      <c r="J30" s="59">
        <v>12</v>
      </c>
      <c r="K30" s="59" t="s">
        <v>40</v>
      </c>
      <c r="L30" s="59">
        <v>12</v>
      </c>
      <c r="M30" s="59">
        <v>12</v>
      </c>
      <c r="N30" s="59">
        <v>12</v>
      </c>
      <c r="O30" s="59">
        <v>12</v>
      </c>
      <c r="P30" s="59">
        <v>12</v>
      </c>
      <c r="Q30" s="59">
        <v>12</v>
      </c>
      <c r="R30" s="59" t="s">
        <v>40</v>
      </c>
      <c r="S30" s="59">
        <v>12</v>
      </c>
      <c r="T30" s="59">
        <v>12</v>
      </c>
      <c r="U30" s="59">
        <v>12</v>
      </c>
      <c r="V30" s="59">
        <v>12</v>
      </c>
      <c r="W30" s="59">
        <v>12</v>
      </c>
      <c r="X30" s="50" cm="1">
        <f t="array" ref="X30">SUMPRODUCT(--ISNUMBER(H30:W30), --($H$14:$W$14&lt;&gt;"LH"), --($H$14:$W$14&lt;&gt;"SH"))</f>
        <v>13</v>
      </c>
      <c r="Y30" s="19">
        <f t="shared" si="3"/>
        <v>104</v>
      </c>
      <c r="Z30" s="19"/>
      <c r="AA30" s="19">
        <f t="shared" si="4"/>
        <v>52</v>
      </c>
      <c r="AB30" s="19">
        <f t="shared" si="6"/>
        <v>0</v>
      </c>
      <c r="AC30" s="19"/>
      <c r="AD30" s="19">
        <f t="shared" si="5"/>
        <v>12</v>
      </c>
      <c r="AE30" s="65"/>
    </row>
    <row r="31" spans="2:31" ht="24.95" customHeight="1">
      <c r="B31" s="16">
        <f t="shared" si="2"/>
        <v>17</v>
      </c>
      <c r="C31" s="66" t="s">
        <v>90</v>
      </c>
      <c r="D31" s="18"/>
      <c r="E31" s="18"/>
      <c r="F31" s="18"/>
      <c r="G31" s="17"/>
      <c r="H31" s="5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60"/>
      <c r="X31" s="50" cm="1">
        <f t="array" ref="X31">SUMPRODUCT(--ISNUMBER(H31:W31), --($H$14:$W$14&lt;&gt;"LH"), --($H$14:$W$14&lt;&gt;"SH"))</f>
        <v>0</v>
      </c>
      <c r="Y31" s="19">
        <f t="shared" si="3"/>
        <v>0</v>
      </c>
      <c r="Z31" s="19"/>
      <c r="AA31" s="19">
        <f t="shared" si="4"/>
        <v>0</v>
      </c>
      <c r="AB31" s="19">
        <f t="shared" si="6"/>
        <v>0</v>
      </c>
      <c r="AC31" s="19"/>
      <c r="AD31" s="19">
        <f t="shared" si="5"/>
        <v>0</v>
      </c>
      <c r="AE31" s="65"/>
    </row>
    <row r="32" spans="2:31" ht="24.95" customHeight="1">
      <c r="B32" s="16">
        <f t="shared" si="2"/>
        <v>18</v>
      </c>
      <c r="C32" s="18"/>
      <c r="D32" s="18"/>
      <c r="E32" s="18"/>
      <c r="F32" s="18"/>
      <c r="G32" s="17"/>
      <c r="H32" s="5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60"/>
      <c r="X32" s="50" cm="1">
        <f t="array" ref="X32">SUMPRODUCT(--ISNUMBER(H32:W32), --($H$14:$W$14&lt;&gt;"LH"), --($H$14:$W$14&lt;&gt;"SH"))</f>
        <v>0</v>
      </c>
      <c r="Y32" s="19">
        <f t="shared" si="3"/>
        <v>0</v>
      </c>
      <c r="Z32" s="19"/>
      <c r="AA32" s="19">
        <f t="shared" si="4"/>
        <v>0</v>
      </c>
      <c r="AB32" s="19">
        <f t="shared" si="6"/>
        <v>0</v>
      </c>
      <c r="AC32" s="19"/>
      <c r="AD32" s="19">
        <f t="shared" si="5"/>
        <v>0</v>
      </c>
      <c r="AE32" s="65"/>
    </row>
    <row r="33" spans="2:31" ht="24.95" customHeight="1">
      <c r="B33" s="16">
        <f t="shared" si="2"/>
        <v>19</v>
      </c>
      <c r="C33" s="18"/>
      <c r="D33" s="18"/>
      <c r="E33" s="18"/>
      <c r="F33" s="18"/>
      <c r="G33" s="17"/>
      <c r="H33" s="5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60"/>
      <c r="X33" s="50" cm="1">
        <f t="array" ref="X33">SUMPRODUCT(--ISNUMBER(H33:W33), --($H$14:$W$14&lt;&gt;"LH"), --($H$14:$W$14&lt;&gt;"SH"))</f>
        <v>0</v>
      </c>
      <c r="Y33" s="19">
        <f t="shared" si="3"/>
        <v>0</v>
      </c>
      <c r="Z33" s="19"/>
      <c r="AA33" s="19">
        <f t="shared" si="4"/>
        <v>0</v>
      </c>
      <c r="AB33" s="19">
        <f t="shared" si="6"/>
        <v>0</v>
      </c>
      <c r="AC33" s="19"/>
      <c r="AD33" s="19">
        <f t="shared" si="5"/>
        <v>0</v>
      </c>
      <c r="AE33" s="65"/>
    </row>
    <row r="34" spans="2:31" ht="24.95" customHeight="1">
      <c r="B34" s="16">
        <f t="shared" si="2"/>
        <v>20</v>
      </c>
      <c r="C34" s="18"/>
      <c r="D34" s="18"/>
      <c r="E34" s="18"/>
      <c r="F34" s="18"/>
      <c r="G34" s="17"/>
      <c r="H34" s="5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60"/>
      <c r="X34" s="50" cm="1">
        <f t="array" ref="X34">SUMPRODUCT(--ISNUMBER(H34:W34), --($H$14:$W$14&lt;&gt;"LH"), --($H$14:$W$14&lt;&gt;"SH"))</f>
        <v>0</v>
      </c>
      <c r="Y34" s="19">
        <f t="shared" si="3"/>
        <v>0</v>
      </c>
      <c r="Z34" s="19"/>
      <c r="AA34" s="19">
        <f t="shared" si="4"/>
        <v>0</v>
      </c>
      <c r="AB34" s="19">
        <f t="shared" si="6"/>
        <v>0</v>
      </c>
      <c r="AC34" s="19"/>
      <c r="AD34" s="19">
        <f t="shared" si="5"/>
        <v>0</v>
      </c>
      <c r="AE34" s="65"/>
    </row>
    <row r="35" spans="2:31" ht="24.95" customHeight="1">
      <c r="B35" s="16">
        <f t="shared" si="2"/>
        <v>21</v>
      </c>
      <c r="C35" s="18"/>
      <c r="D35" s="18"/>
      <c r="E35" s="18"/>
      <c r="F35" s="18"/>
      <c r="G35" s="17"/>
      <c r="H35" s="5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60"/>
      <c r="X35" s="50" cm="1">
        <f t="array" ref="X35">SUMPRODUCT(--ISNUMBER(H35:W35), --($H$14:$W$14&lt;&gt;"LH"), --($H$14:$W$14&lt;&gt;"SH"))</f>
        <v>0</v>
      </c>
      <c r="Y35" s="19">
        <f t="shared" si="3"/>
        <v>0</v>
      </c>
      <c r="Z35" s="19"/>
      <c r="AA35" s="19">
        <f t="shared" si="4"/>
        <v>0</v>
      </c>
      <c r="AB35" s="19">
        <f t="shared" si="6"/>
        <v>0</v>
      </c>
      <c r="AC35" s="19"/>
      <c r="AD35" s="19">
        <f t="shared" si="5"/>
        <v>0</v>
      </c>
      <c r="AE35" s="65"/>
    </row>
    <row r="36" spans="2:31" ht="24.95" customHeight="1">
      <c r="B36" s="16">
        <f t="shared" si="2"/>
        <v>22</v>
      </c>
      <c r="C36" s="18"/>
      <c r="D36" s="18"/>
      <c r="E36" s="18"/>
      <c r="F36" s="18"/>
      <c r="G36" s="17"/>
      <c r="H36" s="5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60"/>
      <c r="X36" s="50" cm="1">
        <f t="array" ref="X36">SUMPRODUCT(--ISNUMBER(H36:W36), --($H$14:$W$14&lt;&gt;"LH"), --($H$14:$W$14&lt;&gt;"SH"))</f>
        <v>0</v>
      </c>
      <c r="Y36" s="19">
        <f t="shared" si="3"/>
        <v>0</v>
      </c>
      <c r="Z36" s="19"/>
      <c r="AA36" s="19">
        <f t="shared" si="4"/>
        <v>0</v>
      </c>
      <c r="AB36" s="19">
        <f t="shared" si="6"/>
        <v>0</v>
      </c>
      <c r="AC36" s="19"/>
      <c r="AD36" s="19">
        <f t="shared" si="5"/>
        <v>0</v>
      </c>
      <c r="AE36" s="65"/>
    </row>
    <row r="37" spans="2:31" ht="24.95" customHeight="1">
      <c r="B37" s="16">
        <f t="shared" si="2"/>
        <v>23</v>
      </c>
      <c r="C37" s="18"/>
      <c r="D37" s="18"/>
      <c r="E37" s="18"/>
      <c r="F37" s="18"/>
      <c r="G37" s="17"/>
      <c r="H37" s="5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60"/>
      <c r="X37" s="50" cm="1">
        <f t="array" ref="X37">SUMPRODUCT(--ISNUMBER(H37:W37), --($H$14:$W$14&lt;&gt;"LH"), --($H$14:$W$14&lt;&gt;"SH"))</f>
        <v>0</v>
      </c>
      <c r="Y37" s="19">
        <f t="shared" si="3"/>
        <v>0</v>
      </c>
      <c r="Z37" s="19"/>
      <c r="AA37" s="19">
        <f t="shared" si="4"/>
        <v>0</v>
      </c>
      <c r="AB37" s="19">
        <f t="shared" si="6"/>
        <v>0</v>
      </c>
      <c r="AC37" s="19"/>
      <c r="AD37" s="19">
        <f t="shared" si="5"/>
        <v>0</v>
      </c>
      <c r="AE37" s="65"/>
    </row>
    <row r="38" spans="2:31" ht="24.95" customHeight="1">
      <c r="B38" s="16">
        <f t="shared" si="2"/>
        <v>24</v>
      </c>
      <c r="C38" s="18"/>
      <c r="D38" s="18"/>
      <c r="E38" s="18"/>
      <c r="F38" s="18"/>
      <c r="G38" s="17"/>
      <c r="H38" s="5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60"/>
      <c r="X38" s="50" cm="1">
        <f t="array" ref="X38">SUMPRODUCT(--ISNUMBER(H38:W38), --($H$14:$W$14&lt;&gt;"LH"), --($H$14:$W$14&lt;&gt;"SH"))</f>
        <v>0</v>
      </c>
      <c r="Y38" s="19">
        <f t="shared" si="3"/>
        <v>0</v>
      </c>
      <c r="Z38" s="19"/>
      <c r="AA38" s="19">
        <f t="shared" si="4"/>
        <v>0</v>
      </c>
      <c r="AB38" s="19">
        <f t="shared" si="6"/>
        <v>0</v>
      </c>
      <c r="AC38" s="19"/>
      <c r="AD38" s="19">
        <f t="shared" si="5"/>
        <v>0</v>
      </c>
      <c r="AE38" s="65"/>
    </row>
    <row r="39" spans="2:31" ht="24.95" customHeight="1">
      <c r="B39" s="16">
        <f t="shared" si="2"/>
        <v>25</v>
      </c>
      <c r="C39" s="18"/>
      <c r="D39" s="18"/>
      <c r="E39" s="18"/>
      <c r="F39" s="18"/>
      <c r="G39" s="17"/>
      <c r="H39" s="5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60"/>
      <c r="X39" s="50" cm="1">
        <f t="array" ref="X39">SUMPRODUCT(--ISNUMBER(H39:W39), --($H$14:$W$14&lt;&gt;"LH"), --($H$14:$W$14&lt;&gt;"SH"))</f>
        <v>0</v>
      </c>
      <c r="Y39" s="19">
        <f t="shared" si="3"/>
        <v>0</v>
      </c>
      <c r="Z39" s="19"/>
      <c r="AA39" s="19">
        <f t="shared" si="4"/>
        <v>0</v>
      </c>
      <c r="AB39" s="19">
        <f t="shared" si="6"/>
        <v>0</v>
      </c>
      <c r="AC39" s="19"/>
      <c r="AD39" s="19">
        <f t="shared" si="5"/>
        <v>0</v>
      </c>
      <c r="AE39" s="65"/>
    </row>
    <row r="40" spans="2:31" ht="24.95" customHeight="1">
      <c r="B40" s="16">
        <f t="shared" si="2"/>
        <v>26</v>
      </c>
      <c r="C40" s="18"/>
      <c r="D40" s="18"/>
      <c r="E40" s="18"/>
      <c r="F40" s="18"/>
      <c r="G40" s="17"/>
      <c r="H40" s="5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60"/>
      <c r="X40" s="50" cm="1">
        <f t="array" ref="X40">SUMPRODUCT(--ISNUMBER(H40:W40), --($H$14:$W$14&lt;&gt;"LH"), --($H$14:$W$14&lt;&gt;"SH"))</f>
        <v>0</v>
      </c>
      <c r="Y40" s="19">
        <f t="shared" si="3"/>
        <v>0</v>
      </c>
      <c r="Z40" s="19"/>
      <c r="AA40" s="19">
        <f t="shared" si="4"/>
        <v>0</v>
      </c>
      <c r="AB40" s="19">
        <f t="shared" si="6"/>
        <v>0</v>
      </c>
      <c r="AC40" s="19"/>
      <c r="AD40" s="19">
        <f t="shared" si="5"/>
        <v>0</v>
      </c>
      <c r="AE40" s="65"/>
    </row>
    <row r="41" spans="2:31" ht="24.95" customHeight="1">
      <c r="B41" s="16">
        <f t="shared" si="2"/>
        <v>27</v>
      </c>
      <c r="C41" s="18"/>
      <c r="D41" s="18"/>
      <c r="E41" s="18"/>
      <c r="F41" s="18"/>
      <c r="G41" s="17"/>
      <c r="H41" s="5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60"/>
      <c r="X41" s="50" cm="1">
        <f t="array" ref="X41">SUMPRODUCT(--ISNUMBER(H41:W41), --($H$14:$W$14&lt;&gt;"LH"), --($H$14:$W$14&lt;&gt;"SH"))</f>
        <v>0</v>
      </c>
      <c r="Y41" s="19">
        <f t="shared" si="3"/>
        <v>0</v>
      </c>
      <c r="Z41" s="19"/>
      <c r="AA41" s="19">
        <f t="shared" si="4"/>
        <v>0</v>
      </c>
      <c r="AB41" s="19">
        <f t="shared" si="6"/>
        <v>0</v>
      </c>
      <c r="AC41" s="19"/>
      <c r="AD41" s="19">
        <f t="shared" si="5"/>
        <v>0</v>
      </c>
      <c r="AE41" s="65"/>
    </row>
    <row r="42" spans="2:31" ht="24.95" customHeight="1">
      <c r="B42" s="16">
        <f t="shared" si="2"/>
        <v>28</v>
      </c>
      <c r="C42" s="18"/>
      <c r="D42" s="18"/>
      <c r="E42" s="18"/>
      <c r="F42" s="18"/>
      <c r="G42" s="17"/>
      <c r="H42" s="5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60"/>
      <c r="X42" s="50" cm="1">
        <f t="array" ref="X42">SUMPRODUCT(--ISNUMBER(H42:W42), --($H$14:$W$14&lt;&gt;"LH"), --($H$14:$W$14&lt;&gt;"SH"))</f>
        <v>0</v>
      </c>
      <c r="Y42" s="19">
        <f t="shared" si="3"/>
        <v>0</v>
      </c>
      <c r="Z42" s="19"/>
      <c r="AA42" s="19">
        <f t="shared" si="4"/>
        <v>0</v>
      </c>
      <c r="AB42" s="19">
        <f t="shared" si="6"/>
        <v>0</v>
      </c>
      <c r="AC42" s="19"/>
      <c r="AD42" s="19">
        <f t="shared" si="5"/>
        <v>0</v>
      </c>
      <c r="AE42" s="65"/>
    </row>
    <row r="43" spans="2:31" ht="24.95" customHeight="1">
      <c r="B43" s="16">
        <f t="shared" si="2"/>
        <v>29</v>
      </c>
      <c r="C43" s="18"/>
      <c r="D43" s="18"/>
      <c r="E43" s="18"/>
      <c r="F43" s="18"/>
      <c r="G43" s="17"/>
      <c r="H43" s="5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60"/>
      <c r="X43" s="50" cm="1">
        <f t="array" ref="X43">SUMPRODUCT(--ISNUMBER(H43:W43), --($H$14:$W$14&lt;&gt;"LH"), --($H$14:$W$14&lt;&gt;"SH"))</f>
        <v>0</v>
      </c>
      <c r="Y43" s="19">
        <f t="shared" si="3"/>
        <v>0</v>
      </c>
      <c r="Z43" s="19"/>
      <c r="AA43" s="19">
        <f t="shared" si="4"/>
        <v>0</v>
      </c>
      <c r="AB43" s="19">
        <f t="shared" si="6"/>
        <v>0</v>
      </c>
      <c r="AC43" s="19"/>
      <c r="AD43" s="19">
        <f t="shared" si="5"/>
        <v>0</v>
      </c>
      <c r="AE43" s="65"/>
    </row>
    <row r="44" spans="2:31" ht="24.95" customHeight="1">
      <c r="B44" s="16">
        <f t="shared" si="2"/>
        <v>30</v>
      </c>
      <c r="C44" s="18"/>
      <c r="D44" s="18"/>
      <c r="E44" s="18"/>
      <c r="F44" s="18"/>
      <c r="G44" s="17"/>
      <c r="H44" s="5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60"/>
      <c r="X44" s="50" cm="1">
        <f t="array" ref="X44">SUMPRODUCT(--ISNUMBER(H44:W44), --($H$14:$W$14&lt;&gt;"LH"), --($H$14:$W$14&lt;&gt;"SH"))</f>
        <v>0</v>
      </c>
      <c r="Y44" s="19">
        <f t="shared" si="3"/>
        <v>0</v>
      </c>
      <c r="Z44" s="19"/>
      <c r="AA44" s="19">
        <f t="shared" si="4"/>
        <v>0</v>
      </c>
      <c r="AB44" s="19">
        <f t="shared" si="6"/>
        <v>0</v>
      </c>
      <c r="AC44" s="19"/>
      <c r="AD44" s="19">
        <f t="shared" si="5"/>
        <v>0</v>
      </c>
      <c r="AE44" s="65"/>
    </row>
    <row r="45" spans="2:31" ht="24.95" customHeight="1">
      <c r="B45" s="16">
        <f t="shared" si="2"/>
        <v>31</v>
      </c>
      <c r="C45" s="18"/>
      <c r="D45" s="18"/>
      <c r="E45" s="18"/>
      <c r="F45" s="18"/>
      <c r="G45" s="17"/>
      <c r="H45" s="5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60"/>
      <c r="X45" s="50" cm="1">
        <f t="array" ref="X45">SUMPRODUCT(--ISNUMBER(H45:W45), --($H$14:$W$14&lt;&gt;"LH"), --($H$14:$W$14&lt;&gt;"SH"))</f>
        <v>0</v>
      </c>
      <c r="Y45" s="19">
        <f t="shared" si="3"/>
        <v>0</v>
      </c>
      <c r="Z45" s="19"/>
      <c r="AA45" s="19">
        <f t="shared" si="4"/>
        <v>0</v>
      </c>
      <c r="AB45" s="19">
        <f t="shared" si="6"/>
        <v>0</v>
      </c>
      <c r="AC45" s="19"/>
      <c r="AD45" s="19">
        <f t="shared" si="5"/>
        <v>0</v>
      </c>
      <c r="AE45" s="65"/>
    </row>
    <row r="46" spans="2:31" ht="24.95" customHeight="1">
      <c r="B46" s="16">
        <f t="shared" si="2"/>
        <v>32</v>
      </c>
      <c r="C46" s="18"/>
      <c r="D46" s="18"/>
      <c r="E46" s="18"/>
      <c r="F46" s="18"/>
      <c r="G46" s="17"/>
      <c r="H46" s="5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60"/>
      <c r="X46" s="50" cm="1">
        <f t="array" ref="X46">SUMPRODUCT(--ISNUMBER(H46:W46), --($H$14:$W$14&lt;&gt;"LH"), --($H$14:$W$14&lt;&gt;"SH"))</f>
        <v>0</v>
      </c>
      <c r="Y46" s="19">
        <f t="shared" si="3"/>
        <v>0</v>
      </c>
      <c r="Z46" s="19"/>
      <c r="AA46" s="19">
        <f t="shared" si="4"/>
        <v>0</v>
      </c>
      <c r="AB46" s="19">
        <f t="shared" si="6"/>
        <v>0</v>
      </c>
      <c r="AC46" s="19"/>
      <c r="AD46" s="19">
        <f t="shared" si="5"/>
        <v>0</v>
      </c>
      <c r="AE46" s="65"/>
    </row>
    <row r="47" spans="2:31" ht="22.5" customHeight="1" thickBot="1">
      <c r="B47" s="19"/>
      <c r="C47" s="18"/>
      <c r="D47" s="18"/>
      <c r="E47" s="82" t="s">
        <v>54</v>
      </c>
      <c r="F47" s="83"/>
      <c r="G47" s="67">
        <f>SUM(H47:W47)</f>
        <v>220</v>
      </c>
      <c r="H47" s="61">
        <f t="shared" ref="H47:W47" si="7">COUNTA(H15:H46)-COUNTIF(H15:H46,"A")-COUNTIF(H15:H46,"D")-COUNTIF(H15:H46,"L")</f>
        <v>14</v>
      </c>
      <c r="I47" s="62">
        <f t="shared" si="7"/>
        <v>14</v>
      </c>
      <c r="J47" s="62">
        <f t="shared" si="7"/>
        <v>13</v>
      </c>
      <c r="K47" s="62">
        <f t="shared" si="7"/>
        <v>13</v>
      </c>
      <c r="L47" s="62">
        <v>14</v>
      </c>
      <c r="M47" s="62">
        <v>14</v>
      </c>
      <c r="N47" s="62">
        <f t="shared" si="7"/>
        <v>14</v>
      </c>
      <c r="O47" s="62">
        <f t="shared" si="7"/>
        <v>14</v>
      </c>
      <c r="P47" s="62">
        <f t="shared" si="7"/>
        <v>14</v>
      </c>
      <c r="Q47" s="62">
        <f t="shared" si="7"/>
        <v>13</v>
      </c>
      <c r="R47" s="62">
        <f t="shared" si="7"/>
        <v>13</v>
      </c>
      <c r="S47" s="62">
        <f t="shared" si="7"/>
        <v>14</v>
      </c>
      <c r="T47" s="62">
        <f t="shared" si="7"/>
        <v>14</v>
      </c>
      <c r="U47" s="62">
        <f t="shared" si="7"/>
        <v>14</v>
      </c>
      <c r="V47" s="62">
        <f t="shared" si="7"/>
        <v>14</v>
      </c>
      <c r="W47" s="62">
        <f t="shared" si="7"/>
        <v>14</v>
      </c>
      <c r="X47" s="46">
        <f t="shared" ref="X47:AE47" si="8">SUM(X15:X46)</f>
        <v>206</v>
      </c>
      <c r="Y47" s="47">
        <f t="shared" si="8"/>
        <v>1648</v>
      </c>
      <c r="Z47" s="47">
        <f t="shared" si="8"/>
        <v>0</v>
      </c>
      <c r="AA47" s="47">
        <f t="shared" si="8"/>
        <v>824</v>
      </c>
      <c r="AB47" s="47">
        <f t="shared" si="8"/>
        <v>0</v>
      </c>
      <c r="AC47" s="47">
        <f t="shared" si="8"/>
        <v>0</v>
      </c>
      <c r="AD47" s="47">
        <f t="shared" si="8"/>
        <v>168</v>
      </c>
      <c r="AE47" s="47">
        <f t="shared" si="8"/>
        <v>0</v>
      </c>
    </row>
    <row r="49" spans="2:31" ht="15.75">
      <c r="B49" s="20" t="s">
        <v>28</v>
      </c>
      <c r="H49" s="78" t="s">
        <v>33</v>
      </c>
      <c r="I49" s="78"/>
      <c r="J49" s="78"/>
      <c r="K49" s="78"/>
      <c r="R49" s="78" t="s">
        <v>34</v>
      </c>
      <c r="S49" s="78"/>
      <c r="T49" s="78"/>
      <c r="U49" s="78"/>
      <c r="Z49" s="4"/>
      <c r="AA49" s="1" t="s">
        <v>16</v>
      </c>
      <c r="AB49" s="41"/>
      <c r="AC49" s="2"/>
      <c r="AD49" s="38"/>
      <c r="AE49" s="4"/>
    </row>
    <row r="50" spans="2:31" ht="15.75">
      <c r="U50" s="3"/>
      <c r="Z50" s="38"/>
      <c r="AA50" s="24" t="s">
        <v>17</v>
      </c>
      <c r="AB50" s="42"/>
      <c r="AC50" s="6"/>
      <c r="AD50" s="38"/>
      <c r="AE50" s="3"/>
    </row>
    <row r="51" spans="2:31" ht="15.75">
      <c r="U51" s="3"/>
      <c r="Z51" s="38"/>
      <c r="AA51" s="24" t="s">
        <v>18</v>
      </c>
      <c r="AB51" s="42"/>
      <c r="AC51" s="6"/>
      <c r="AD51" s="38"/>
      <c r="AE51" s="3"/>
    </row>
    <row r="52" spans="2:31" ht="15.75">
      <c r="B52" s="79"/>
      <c r="C52" s="79"/>
      <c r="D52" s="79"/>
      <c r="E52" s="25"/>
      <c r="F52" s="25"/>
      <c r="G52" s="25"/>
      <c r="H52" s="79"/>
      <c r="I52" s="79"/>
      <c r="J52" s="79"/>
      <c r="K52" s="79"/>
      <c r="L52" s="79"/>
      <c r="M52" s="79"/>
      <c r="N52" s="79"/>
      <c r="O52" s="26"/>
      <c r="P52" s="26"/>
      <c r="Q52" s="26"/>
      <c r="R52" s="79" t="s">
        <v>95</v>
      </c>
      <c r="S52" s="79"/>
      <c r="T52" s="79"/>
      <c r="U52" s="79"/>
      <c r="V52" s="79"/>
      <c r="W52" s="79"/>
      <c r="X52" s="79"/>
      <c r="Z52" s="38"/>
      <c r="AA52" s="24" t="s">
        <v>19</v>
      </c>
      <c r="AB52" s="42"/>
      <c r="AC52" s="6"/>
      <c r="AD52" s="38"/>
      <c r="AE52" s="3"/>
    </row>
    <row r="53" spans="2:31" ht="15.75" customHeight="1">
      <c r="B53" s="81" t="s">
        <v>29</v>
      </c>
      <c r="C53" s="81"/>
      <c r="D53" s="81"/>
      <c r="H53" s="80" t="s">
        <v>30</v>
      </c>
      <c r="I53" s="80"/>
      <c r="J53" s="80"/>
      <c r="K53" s="80"/>
      <c r="L53" s="80"/>
      <c r="M53" s="80"/>
      <c r="N53" s="80"/>
      <c r="O53" s="13"/>
      <c r="P53" s="13"/>
      <c r="Q53" s="13"/>
      <c r="R53" s="80" t="s">
        <v>31</v>
      </c>
      <c r="S53" s="80"/>
      <c r="T53" s="80"/>
      <c r="U53" s="80"/>
      <c r="V53" s="80"/>
      <c r="W53" s="80"/>
      <c r="X53" s="80"/>
      <c r="Z53" s="38"/>
      <c r="AA53" s="24" t="s">
        <v>20</v>
      </c>
      <c r="AB53" s="7"/>
      <c r="AC53" s="38"/>
      <c r="AD53" s="38"/>
      <c r="AE53" s="3"/>
    </row>
    <row r="54" spans="2:31" ht="15.75">
      <c r="U54" s="3"/>
      <c r="Z54" s="38"/>
      <c r="AA54" s="24" t="s">
        <v>21</v>
      </c>
      <c r="AB54" s="42"/>
      <c r="AC54" s="6"/>
      <c r="AD54" s="38"/>
      <c r="AE54" s="3"/>
    </row>
    <row r="55" spans="2:31" ht="15.75">
      <c r="U55" s="3"/>
      <c r="Z55" s="38"/>
      <c r="AA55" s="24" t="s">
        <v>22</v>
      </c>
      <c r="AB55" s="42"/>
      <c r="AC55" s="6"/>
      <c r="AD55" s="38"/>
      <c r="AE55" s="3"/>
    </row>
    <row r="56" spans="2:31" ht="15.75">
      <c r="B56" s="21"/>
      <c r="C56" s="21"/>
      <c r="D56" s="21"/>
      <c r="E56" s="21"/>
      <c r="F56" s="21"/>
      <c r="G56" s="21"/>
      <c r="H56" s="21"/>
      <c r="I56" s="22"/>
      <c r="J56" s="22"/>
      <c r="K56" s="21"/>
      <c r="L56" s="21"/>
      <c r="M56" s="22"/>
      <c r="U56" s="7"/>
      <c r="Z56" s="38"/>
      <c r="AA56" s="24" t="s">
        <v>23</v>
      </c>
      <c r="AB56" s="7"/>
      <c r="AC56" s="38"/>
      <c r="AD56" s="38"/>
      <c r="AE56" s="3"/>
    </row>
    <row r="57" spans="2:31" ht="15.75">
      <c r="B57" s="21" t="s">
        <v>32</v>
      </c>
      <c r="C57" s="23"/>
      <c r="D57" s="23"/>
      <c r="E57" s="23"/>
      <c r="F57" s="23"/>
      <c r="G57" s="23"/>
      <c r="H57" s="23"/>
      <c r="I57" s="23"/>
      <c r="J57" s="24"/>
      <c r="K57" s="24"/>
      <c r="L57" s="23"/>
      <c r="M57" s="23"/>
      <c r="N57" s="22"/>
      <c r="O57" s="21"/>
      <c r="U57" s="3"/>
      <c r="Z57" s="38"/>
      <c r="AA57" s="24" t="s">
        <v>24</v>
      </c>
      <c r="AB57" s="7"/>
      <c r="AC57" s="38"/>
      <c r="AD57" s="38"/>
      <c r="AE57" s="3"/>
    </row>
    <row r="58" spans="2:31" ht="15.75">
      <c r="B58" s="22"/>
      <c r="C58" s="23"/>
      <c r="D58" s="24"/>
      <c r="E58" s="24"/>
      <c r="F58" s="24"/>
      <c r="G58" s="24"/>
      <c r="H58" s="24"/>
      <c r="I58" s="24"/>
      <c r="J58" s="24"/>
      <c r="K58" s="24"/>
      <c r="L58" s="23"/>
      <c r="M58" s="23"/>
      <c r="N58" s="22"/>
      <c r="O58" s="21"/>
      <c r="U58" s="3"/>
      <c r="Z58" s="38"/>
      <c r="AA58" s="24" t="s">
        <v>25</v>
      </c>
      <c r="AB58" s="7"/>
      <c r="AC58" s="38"/>
      <c r="AD58" s="38"/>
      <c r="AE58" s="3"/>
    </row>
    <row r="59" spans="2:31" ht="15.75">
      <c r="B59" s="22"/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2"/>
      <c r="O59" s="21"/>
      <c r="U59" s="3"/>
      <c r="Z59" s="38"/>
      <c r="AA59" s="40" t="s">
        <v>26</v>
      </c>
      <c r="AB59" s="43"/>
      <c r="AC59" s="39"/>
      <c r="AD59" s="38"/>
      <c r="AE59" s="3"/>
    </row>
    <row r="60" spans="2:31" ht="15.75">
      <c r="U60" s="3"/>
      <c r="Z60" s="39"/>
      <c r="AA60" s="40" t="s">
        <v>27</v>
      </c>
      <c r="AB60" s="43"/>
      <c r="AC60" s="39"/>
      <c r="AD60" s="39"/>
      <c r="AE60" s="9"/>
    </row>
    <row r="61" spans="2:31" ht="15.75">
      <c r="B61" s="20"/>
      <c r="C61" s="20"/>
      <c r="D61" s="20"/>
      <c r="E61" s="20"/>
      <c r="F61" s="20"/>
      <c r="G61" s="20"/>
      <c r="H61" s="20"/>
      <c r="I61" s="20"/>
      <c r="U61" s="8"/>
      <c r="Z61" s="39"/>
      <c r="AD61" s="39"/>
      <c r="AE61" s="9"/>
    </row>
    <row r="62" spans="2:31" ht="15.75">
      <c r="U62" s="8"/>
      <c r="Z62" s="39"/>
      <c r="AD62" s="39"/>
      <c r="AE62" s="9"/>
    </row>
  </sheetData>
  <sheetProtection insertRows="0"/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D23 C24:D28 E23:E28 F23:F29 AE23:AE46 C29:E29 C31:AD46 C30:F30 C15:AE22 G23:AD30">
    <cfRule type="containsBlanks" dxfId="200" priority="28">
      <formula>LEN(TRIM(C15))=0</formula>
    </cfRule>
  </conditionalFormatting>
  <conditionalFormatting sqref="H12:W12">
    <cfRule type="expression" priority="26">
      <formula>TEXT($D$9+COLUMN()-COLUMN($H$12),"ddd")="Sun"</formula>
    </cfRule>
    <cfRule type="expression" dxfId="199" priority="27">
      <formula>TEXT($D$9+COLUMN()-COLUMN($H$12),"ddd")="Sun"</formula>
    </cfRule>
  </conditionalFormatting>
  <conditionalFormatting sqref="H14:W14">
    <cfRule type="containsBlanks" dxfId="198" priority="4">
      <formula>LEN(TRIM(H14))=0</formula>
    </cfRule>
    <cfRule type="expression" dxfId="197" priority="5">
      <formula>EXACT(H14, "S")</formula>
    </cfRule>
    <cfRule type="expression" dxfId="196" priority="6">
      <formula>EXACT(H14, "R")</formula>
    </cfRule>
    <cfRule type="expression" dxfId="195" priority="7">
      <formula>EXACT(H14, "T")</formula>
    </cfRule>
    <cfRule type="containsText" dxfId="194" priority="8" operator="containsText" text="SH">
      <formula>NOT(ISERROR(SEARCH("SH",H14)))</formula>
    </cfRule>
    <cfRule type="expression" dxfId="193" priority="9">
      <formula>EXACT(H14, "RS")</formula>
    </cfRule>
    <cfRule type="containsText" dxfId="192" priority="10" operator="containsText" text="LH">
      <formula>NOT(ISERROR(SEARCH("LH",H14)))</formula>
    </cfRule>
    <cfRule type="expression" dxfId="191" priority="11">
      <formula>EXACT(H14, "LR")</formula>
    </cfRule>
    <cfRule type="expression" dxfId="190" priority="12">
      <formula>EXACT(H14, "L")</formula>
    </cfRule>
    <cfRule type="expression" dxfId="189" priority="13">
      <formula>EXACT(H14, "D")</formula>
    </cfRule>
    <cfRule type="expression" dxfId="188" priority="14">
      <formula>EXACT(H14, "A")</formula>
    </cfRule>
  </conditionalFormatting>
  <conditionalFormatting sqref="J16 H15:W15">
    <cfRule type="containsBlanks" dxfId="187" priority="15">
      <formula>LEN(TRIM(H15))=0</formula>
    </cfRule>
  </conditionalFormatting>
  <conditionalFormatting sqref="H15:W46">
    <cfRule type="containsText" dxfId="186" priority="1" operator="containsText" text="12">
      <formula>NOT(ISERROR(SEARCH("12",H15)))</formula>
    </cfRule>
    <cfRule type="expression" dxfId="185" priority="2">
      <formula>H$14="LH"</formula>
    </cfRule>
    <cfRule type="expression" dxfId="184" priority="3" stopIfTrue="1">
      <formula>H$14="SH"</formula>
    </cfRule>
    <cfRule type="expression" dxfId="183" priority="16">
      <formula>EXACT(H15, "S")</formula>
    </cfRule>
    <cfRule type="expression" dxfId="182" priority="17">
      <formula>EXACT(H15, "R")</formula>
    </cfRule>
    <cfRule type="expression" dxfId="181" priority="18">
      <formula>EXACT(H15, "T")</formula>
    </cfRule>
    <cfRule type="containsText" dxfId="180" priority="19" operator="containsText" text="SH">
      <formula>NOT(ISERROR(SEARCH("SH",H15)))</formula>
    </cfRule>
    <cfRule type="expression" dxfId="179" priority="20">
      <formula>EXACT(H15, "RS")</formula>
    </cfRule>
    <cfRule type="containsText" dxfId="178" priority="21" operator="containsText" text="RH">
      <formula>NOT(ISERROR(SEARCH("RH",H15)))</formula>
    </cfRule>
    <cfRule type="expression" dxfId="177" priority="22">
      <formula>EXACT(H15, "LR")</formula>
    </cfRule>
    <cfRule type="expression" dxfId="176" priority="23">
      <formula>EXACT(H15, "L")</formula>
    </cfRule>
    <cfRule type="expression" dxfId="175" priority="24">
      <formula>EXACT(H15, "D")</formula>
    </cfRule>
    <cfRule type="expression" dxfId="174" priority="25">
      <formula>EXACT(H15, "A")</formula>
    </cfRule>
  </conditionalFormatting>
  <dataValidations count="1">
    <dataValidation type="list" allowBlank="1" showInputMessage="1" showErrorMessage="1" sqref="H14:W14" xr:uid="{00000000-0002-0000-0100-000000000000}">
      <formula1>"SH, LH"</formula1>
    </dataValidation>
  </dataValidations>
  <pageMargins left="0" right="0" top="0" bottom="0.19685039370078741" header="0" footer="0"/>
  <pageSetup paperSize="9" scale="49" fitToHeight="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Sheet3!$A$2:$A$54</xm:f>
          </x14:formula1>
          <xm:sqref>H15:W46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E62"/>
  <sheetViews>
    <sheetView view="pageBreakPreview" topLeftCell="A10" zoomScale="86" zoomScaleNormal="70" zoomScaleSheetLayoutView="86" workbookViewId="0">
      <selection activeCell="E16" sqref="E16"/>
    </sheetView>
  </sheetViews>
  <sheetFormatPr defaultColWidth="9.125" defaultRowHeight="14.25"/>
  <cols>
    <col min="1" max="1" width="4.125" style="5" customWidth="1"/>
    <col min="2" max="2" width="6.625" style="5" customWidth="1"/>
    <col min="3" max="3" width="25.625" style="5" customWidth="1"/>
    <col min="4" max="4" width="12" style="5" customWidth="1"/>
    <col min="5" max="5" width="18.625" style="5" customWidth="1"/>
    <col min="6" max="6" width="14.125" style="5" customWidth="1"/>
    <col min="7" max="7" width="12" style="5" customWidth="1"/>
    <col min="8" max="23" width="5.75" style="5" customWidth="1"/>
    <col min="24" max="30" width="10.375" style="37" customWidth="1"/>
    <col min="31" max="31" width="10.375" style="5" customWidth="1"/>
    <col min="32" max="16384" width="9.125" style="5"/>
  </cols>
  <sheetData>
    <row r="1" spans="2:31" ht="15" thickBot="1"/>
    <row r="2" spans="2:31" ht="15.75">
      <c r="B2" s="10"/>
      <c r="C2" s="69" t="s">
        <v>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1"/>
    </row>
    <row r="3" spans="2:31" ht="15.75">
      <c r="B3" s="11"/>
      <c r="C3" s="72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4"/>
    </row>
    <row r="4" spans="2:31" ht="15.75">
      <c r="B4" s="11"/>
      <c r="C4" s="75" t="s">
        <v>1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7"/>
    </row>
    <row r="5" spans="2:31" ht="15.75">
      <c r="B5" s="11"/>
      <c r="C5" s="72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4"/>
    </row>
    <row r="6" spans="2:31" ht="16.5" customHeight="1" thickBot="1">
      <c r="B6" s="12"/>
      <c r="C6" s="85" t="s">
        <v>53</v>
      </c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7"/>
    </row>
    <row r="7" spans="2:31" ht="23.25" customHeight="1">
      <c r="C7" s="64" t="s">
        <v>55</v>
      </c>
      <c r="G7" s="34"/>
      <c r="H7" s="34"/>
    </row>
    <row r="8" spans="2:31" ht="15" customHeight="1">
      <c r="B8" s="27"/>
      <c r="C8" s="82" t="s">
        <v>57</v>
      </c>
      <c r="D8" s="83"/>
      <c r="E8" s="83"/>
      <c r="F8" s="84"/>
      <c r="G8" s="13"/>
      <c r="H8" s="13"/>
      <c r="I8" s="35"/>
      <c r="J8" s="13"/>
      <c r="K8" s="13"/>
      <c r="L8" s="13"/>
    </row>
    <row r="9" spans="2:31" ht="15" customHeight="1">
      <c r="C9" s="14" t="s">
        <v>2</v>
      </c>
      <c r="D9" s="89">
        <v>45962</v>
      </c>
      <c r="E9" s="89"/>
      <c r="F9" s="30"/>
      <c r="G9" s="33"/>
      <c r="H9" s="15"/>
      <c r="I9" s="15"/>
      <c r="J9" s="15"/>
      <c r="K9" s="15"/>
    </row>
    <row r="10" spans="2:31" ht="15" customHeight="1">
      <c r="B10" s="28"/>
      <c r="C10" s="14" t="s">
        <v>3</v>
      </c>
      <c r="D10" s="88">
        <v>45976</v>
      </c>
      <c r="E10" s="88"/>
      <c r="F10" s="31"/>
      <c r="G10" s="32"/>
      <c r="H10" s="15"/>
      <c r="I10" s="15"/>
      <c r="J10" s="15"/>
      <c r="K10" s="15"/>
    </row>
    <row r="11" spans="2:31" ht="15" thickBot="1"/>
    <row r="12" spans="2:31" ht="21.75" customHeight="1">
      <c r="B12" s="90" t="s">
        <v>4</v>
      </c>
      <c r="C12" s="90" t="s">
        <v>5</v>
      </c>
      <c r="D12" s="90" t="s">
        <v>45</v>
      </c>
      <c r="E12" s="90" t="s">
        <v>44</v>
      </c>
      <c r="F12" s="90" t="s">
        <v>38</v>
      </c>
      <c r="G12" s="93" t="s">
        <v>39</v>
      </c>
      <c r="H12" s="52" t="str">
        <f>IF(COLUMN()-COLUMN($H$12)&lt;=$D$10-$D9+1, TEXT($D$9+COLUMN()-COLUMN($H$12),"ddd"), "")</f>
        <v>Sat</v>
      </c>
      <c r="I12" s="53" t="str">
        <f t="shared" ref="I12:V12" si="0">IF(COLUMN()-COLUMN($H$12)&lt;=$D$10-$D9+1, TEXT($D$9+COLUMN()-COLUMN($H$12),"ddd"), "")</f>
        <v>Sun</v>
      </c>
      <c r="J12" s="53" t="str">
        <f t="shared" si="0"/>
        <v>Mon</v>
      </c>
      <c r="K12" s="53" t="str">
        <f t="shared" si="0"/>
        <v>Tue</v>
      </c>
      <c r="L12" s="53" t="str">
        <f t="shared" si="0"/>
        <v>Wed</v>
      </c>
      <c r="M12" s="53" t="str">
        <f t="shared" si="0"/>
        <v>Thu</v>
      </c>
      <c r="N12" s="53" t="str">
        <f t="shared" si="0"/>
        <v>Fri</v>
      </c>
      <c r="O12" s="53" t="str">
        <f t="shared" si="0"/>
        <v>Sat</v>
      </c>
      <c r="P12" s="53" t="str">
        <f t="shared" si="0"/>
        <v>Sun</v>
      </c>
      <c r="Q12" s="53" t="str">
        <f t="shared" si="0"/>
        <v>Mon</v>
      </c>
      <c r="R12" s="53" t="str">
        <f t="shared" si="0"/>
        <v>Tue</v>
      </c>
      <c r="S12" s="53" t="str">
        <f t="shared" si="0"/>
        <v>Wed</v>
      </c>
      <c r="T12" s="53" t="str">
        <f t="shared" si="0"/>
        <v>Thu</v>
      </c>
      <c r="U12" s="53" t="str">
        <f t="shared" si="0"/>
        <v>Fri</v>
      </c>
      <c r="V12" s="53" t="str">
        <f t="shared" si="0"/>
        <v>Sat</v>
      </c>
      <c r="W12" s="54"/>
      <c r="X12" s="48" t="s">
        <v>6</v>
      </c>
      <c r="Y12" s="49" t="s">
        <v>6</v>
      </c>
      <c r="Z12" s="49" t="s">
        <v>8</v>
      </c>
      <c r="AA12" s="49" t="s">
        <v>10</v>
      </c>
      <c r="AB12" s="49" t="s">
        <v>11</v>
      </c>
      <c r="AC12" s="49" t="s">
        <v>36</v>
      </c>
      <c r="AD12" s="49" t="s">
        <v>12</v>
      </c>
      <c r="AE12" s="90" t="s">
        <v>37</v>
      </c>
    </row>
    <row r="13" spans="2:31" ht="13.5" customHeight="1">
      <c r="B13" s="91"/>
      <c r="C13" s="91"/>
      <c r="D13" s="91"/>
      <c r="E13" s="91"/>
      <c r="F13" s="91"/>
      <c r="G13" s="94"/>
      <c r="H13" s="55">
        <f t="shared" ref="H13:V13" si="1">IF(COLUMN()-COLUMN($H$13)&lt;=$D$10-$D$9+1, DAY($D$9+COLUMN()-COLUMN($H$13)), "")</f>
        <v>1</v>
      </c>
      <c r="I13" s="44">
        <f t="shared" si="1"/>
        <v>2</v>
      </c>
      <c r="J13" s="44">
        <f t="shared" si="1"/>
        <v>3</v>
      </c>
      <c r="K13" s="44">
        <f t="shared" si="1"/>
        <v>4</v>
      </c>
      <c r="L13" s="44">
        <f t="shared" si="1"/>
        <v>5</v>
      </c>
      <c r="M13" s="44">
        <f t="shared" si="1"/>
        <v>6</v>
      </c>
      <c r="N13" s="44">
        <f t="shared" si="1"/>
        <v>7</v>
      </c>
      <c r="O13" s="44">
        <f t="shared" si="1"/>
        <v>8</v>
      </c>
      <c r="P13" s="44">
        <f t="shared" si="1"/>
        <v>9</v>
      </c>
      <c r="Q13" s="44">
        <f t="shared" si="1"/>
        <v>10</v>
      </c>
      <c r="R13" s="44">
        <f t="shared" si="1"/>
        <v>11</v>
      </c>
      <c r="S13" s="44">
        <f t="shared" si="1"/>
        <v>12</v>
      </c>
      <c r="T13" s="44">
        <f t="shared" si="1"/>
        <v>13</v>
      </c>
      <c r="U13" s="44">
        <f t="shared" si="1"/>
        <v>14</v>
      </c>
      <c r="V13" s="44">
        <f t="shared" si="1"/>
        <v>15</v>
      </c>
      <c r="W13" s="56"/>
      <c r="X13" s="96" t="s">
        <v>15</v>
      </c>
      <c r="Y13" s="90" t="s">
        <v>7</v>
      </c>
      <c r="Z13" s="90" t="s">
        <v>9</v>
      </c>
      <c r="AA13" s="90" t="s">
        <v>14</v>
      </c>
      <c r="AB13" s="90" t="s">
        <v>13</v>
      </c>
      <c r="AC13" s="90" t="s">
        <v>35</v>
      </c>
      <c r="AD13" s="90" t="s">
        <v>13</v>
      </c>
      <c r="AE13" s="91"/>
    </row>
    <row r="14" spans="2:31" ht="11.25" customHeight="1">
      <c r="B14" s="92"/>
      <c r="C14" s="92"/>
      <c r="D14" s="92"/>
      <c r="E14" s="92"/>
      <c r="F14" s="92"/>
      <c r="G14" s="95"/>
      <c r="H14" s="57" t="s">
        <v>104</v>
      </c>
      <c r="I14" s="45" t="s">
        <v>105</v>
      </c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58"/>
      <c r="X14" s="97"/>
      <c r="Y14" s="92"/>
      <c r="Z14" s="92"/>
      <c r="AA14" s="92"/>
      <c r="AB14" s="92"/>
      <c r="AC14" s="92"/>
      <c r="AD14" s="92"/>
      <c r="AE14" s="92"/>
    </row>
    <row r="15" spans="2:31" ht="24.95" customHeight="1">
      <c r="B15" s="16">
        <f>ROW()-14</f>
        <v>1</v>
      </c>
      <c r="C15" s="18" t="s">
        <v>93</v>
      </c>
      <c r="D15" s="18">
        <v>1146</v>
      </c>
      <c r="E15" s="18" t="s">
        <v>50</v>
      </c>
      <c r="F15" s="18" t="s">
        <v>51</v>
      </c>
      <c r="G15" s="17" t="s">
        <v>56</v>
      </c>
      <c r="H15" s="59" t="s">
        <v>40</v>
      </c>
      <c r="I15" s="59">
        <v>12</v>
      </c>
      <c r="J15" s="59">
        <v>12</v>
      </c>
      <c r="K15" s="59">
        <v>12</v>
      </c>
      <c r="L15" s="59">
        <v>12</v>
      </c>
      <c r="M15" s="59">
        <v>12</v>
      </c>
      <c r="N15" s="59">
        <v>12</v>
      </c>
      <c r="O15" s="19" t="s">
        <v>40</v>
      </c>
      <c r="P15" s="19">
        <v>12</v>
      </c>
      <c r="Q15" s="19">
        <v>12</v>
      </c>
      <c r="R15" s="19">
        <v>12</v>
      </c>
      <c r="S15" s="19">
        <v>12</v>
      </c>
      <c r="T15" s="19">
        <v>12</v>
      </c>
      <c r="U15" s="19">
        <v>12</v>
      </c>
      <c r="V15" s="19" t="s">
        <v>40</v>
      </c>
      <c r="W15" s="60"/>
      <c r="X15" s="50" cm="1">
        <f t="array" ref="X15">SUMPRODUCT(--ISNUMBER(H15:W15), --($H$14:$W$14&lt;&gt;"LH"), --($H$14:$W$14&lt;&gt;"SH"))</f>
        <v>11</v>
      </c>
      <c r="Y15" s="19">
        <f>X15*8</f>
        <v>88</v>
      </c>
      <c r="Z15" s="19"/>
      <c r="AA15" s="19">
        <f>SUM(H15:W15)-AB15-AD15-Y15</f>
        <v>44</v>
      </c>
      <c r="AB15" s="19">
        <v>0</v>
      </c>
      <c r="AC15" s="19"/>
      <c r="AD15" s="19">
        <f>SUMIF($H$14:$W$14,"SH",$H15:$W15)</f>
        <v>12</v>
      </c>
      <c r="AE15" s="51"/>
    </row>
    <row r="16" spans="2:31" ht="24.95" customHeight="1">
      <c r="B16" s="16">
        <f t="shared" ref="B16:B46" si="2">ROW()-14</f>
        <v>2</v>
      </c>
      <c r="C16" s="18" t="s">
        <v>65</v>
      </c>
      <c r="D16" s="18">
        <v>1510</v>
      </c>
      <c r="E16" s="18" t="s">
        <v>50</v>
      </c>
      <c r="F16" s="18" t="s">
        <v>51</v>
      </c>
      <c r="G16" s="17" t="s">
        <v>56</v>
      </c>
      <c r="H16" s="59">
        <v>12</v>
      </c>
      <c r="I16" s="59">
        <v>12</v>
      </c>
      <c r="J16" s="59">
        <v>12</v>
      </c>
      <c r="K16" s="59">
        <v>12</v>
      </c>
      <c r="L16" s="19" t="s">
        <v>40</v>
      </c>
      <c r="M16" s="19">
        <v>12</v>
      </c>
      <c r="N16" s="19">
        <v>12</v>
      </c>
      <c r="O16" s="19">
        <v>12</v>
      </c>
      <c r="P16" s="19">
        <v>12</v>
      </c>
      <c r="Q16" s="19">
        <v>12</v>
      </c>
      <c r="R16" s="19">
        <v>12</v>
      </c>
      <c r="S16" s="19" t="s">
        <v>40</v>
      </c>
      <c r="T16" s="19">
        <v>12</v>
      </c>
      <c r="U16" s="19">
        <v>12</v>
      </c>
      <c r="V16" s="19">
        <v>12</v>
      </c>
      <c r="W16" s="60"/>
      <c r="X16" s="50" cm="1">
        <f t="array" ref="X16">SUMPRODUCT(--ISNUMBER(H16:W16), --($H$14:$W$14&lt;&gt;"LH"), --($H$14:$W$14&lt;&gt;"SH"))</f>
        <v>11</v>
      </c>
      <c r="Y16" s="19">
        <f t="shared" ref="Y16:Y46" si="3">X16*8</f>
        <v>88</v>
      </c>
      <c r="Z16" s="19"/>
      <c r="AA16" s="19">
        <f t="shared" ref="AA16:AA46" si="4">SUM(H16:W16)-AB16-AD16-Y16</f>
        <v>56</v>
      </c>
      <c r="AB16" s="19">
        <v>0</v>
      </c>
      <c r="AC16" s="19"/>
      <c r="AD16" s="19">
        <f t="shared" ref="AD16:AD46" si="5">SUMIF($H$14:$W$14,"SH",$H16:$W16)</f>
        <v>12</v>
      </c>
      <c r="AE16" s="51"/>
    </row>
    <row r="17" spans="2:31" ht="24.95" customHeight="1">
      <c r="B17" s="16">
        <f t="shared" si="2"/>
        <v>3</v>
      </c>
      <c r="C17" s="18" t="s">
        <v>68</v>
      </c>
      <c r="D17" s="18">
        <v>4530</v>
      </c>
      <c r="E17" s="18" t="s">
        <v>52</v>
      </c>
      <c r="F17" s="18" t="s">
        <v>51</v>
      </c>
      <c r="G17" s="17" t="s">
        <v>56</v>
      </c>
      <c r="H17" s="59" t="s">
        <v>40</v>
      </c>
      <c r="I17" s="19">
        <v>12</v>
      </c>
      <c r="J17" s="19">
        <v>12</v>
      </c>
      <c r="K17" s="19">
        <v>12</v>
      </c>
      <c r="L17" s="19">
        <v>12</v>
      </c>
      <c r="M17" s="19">
        <v>12</v>
      </c>
      <c r="N17" s="19">
        <v>12</v>
      </c>
      <c r="O17" s="19" t="s">
        <v>40</v>
      </c>
      <c r="P17" s="19">
        <v>12</v>
      </c>
      <c r="Q17" s="19">
        <v>12</v>
      </c>
      <c r="R17" s="19">
        <v>12</v>
      </c>
      <c r="S17" s="19">
        <v>12</v>
      </c>
      <c r="T17" s="19">
        <v>12</v>
      </c>
      <c r="U17" s="19">
        <v>12</v>
      </c>
      <c r="V17" s="19">
        <v>12</v>
      </c>
      <c r="W17" s="60"/>
      <c r="X17" s="50" cm="1">
        <f t="array" ref="X17">SUMPRODUCT(--ISNUMBER(H17:W17), --($H$14:$W$14&lt;&gt;"LH"), --($H$14:$W$14&lt;&gt;"SH"))</f>
        <v>12</v>
      </c>
      <c r="Y17" s="19">
        <f t="shared" si="3"/>
        <v>96</v>
      </c>
      <c r="Z17" s="19"/>
      <c r="AA17" s="19">
        <f t="shared" si="4"/>
        <v>48</v>
      </c>
      <c r="AB17" s="19">
        <v>0</v>
      </c>
      <c r="AC17" s="19"/>
      <c r="AD17" s="19">
        <f t="shared" si="5"/>
        <v>12</v>
      </c>
      <c r="AE17" s="51"/>
    </row>
    <row r="18" spans="2:31" ht="24.95" customHeight="1">
      <c r="B18" s="16">
        <f t="shared" si="2"/>
        <v>4</v>
      </c>
      <c r="C18" s="18" t="s">
        <v>62</v>
      </c>
      <c r="D18" s="18">
        <v>4114</v>
      </c>
      <c r="E18" s="18" t="s">
        <v>52</v>
      </c>
      <c r="F18" s="18" t="s">
        <v>51</v>
      </c>
      <c r="G18" s="17" t="s">
        <v>56</v>
      </c>
      <c r="H18" s="59">
        <v>12</v>
      </c>
      <c r="I18" s="19">
        <v>12</v>
      </c>
      <c r="J18" s="19" t="s">
        <v>40</v>
      </c>
      <c r="K18" s="19">
        <v>12</v>
      </c>
      <c r="L18" s="19">
        <v>12</v>
      </c>
      <c r="M18" s="19">
        <v>12</v>
      </c>
      <c r="N18" s="19">
        <v>12</v>
      </c>
      <c r="O18" s="19">
        <v>12</v>
      </c>
      <c r="P18" s="19">
        <v>12</v>
      </c>
      <c r="Q18" s="19" t="s">
        <v>40</v>
      </c>
      <c r="R18" s="19">
        <v>12</v>
      </c>
      <c r="S18" s="19">
        <v>12</v>
      </c>
      <c r="T18" s="19">
        <v>12</v>
      </c>
      <c r="U18" s="19">
        <v>12</v>
      </c>
      <c r="V18" s="19">
        <v>12</v>
      </c>
      <c r="W18" s="60"/>
      <c r="X18" s="50" cm="1">
        <f t="array" ref="X18">SUMPRODUCT(--ISNUMBER(H18:W18), --($H$14:$W$14&lt;&gt;"LH"), --($H$14:$W$14&lt;&gt;"SH"))</f>
        <v>11</v>
      </c>
      <c r="Y18" s="19">
        <f t="shared" si="3"/>
        <v>88</v>
      </c>
      <c r="Z18" s="19"/>
      <c r="AA18" s="19">
        <f t="shared" si="4"/>
        <v>56</v>
      </c>
      <c r="AB18" s="19">
        <v>0</v>
      </c>
      <c r="AC18" s="19"/>
      <c r="AD18" s="19">
        <f t="shared" si="5"/>
        <v>12</v>
      </c>
      <c r="AE18" s="51"/>
    </row>
    <row r="19" spans="2:31" ht="24.95" customHeight="1">
      <c r="B19" s="16">
        <f t="shared" si="2"/>
        <v>5</v>
      </c>
      <c r="C19" s="18" t="s">
        <v>61</v>
      </c>
      <c r="D19" s="18">
        <v>4588</v>
      </c>
      <c r="E19" s="18" t="s">
        <v>52</v>
      </c>
      <c r="F19" s="18" t="s">
        <v>51</v>
      </c>
      <c r="G19" s="17" t="s">
        <v>56</v>
      </c>
      <c r="H19" s="59">
        <v>12</v>
      </c>
      <c r="I19" s="19">
        <v>12</v>
      </c>
      <c r="J19" s="19">
        <v>12</v>
      </c>
      <c r="K19" s="19" t="s">
        <v>40</v>
      </c>
      <c r="L19" s="19">
        <v>12</v>
      </c>
      <c r="M19" s="19">
        <v>12</v>
      </c>
      <c r="N19" s="19">
        <v>12</v>
      </c>
      <c r="O19" s="19">
        <v>12</v>
      </c>
      <c r="P19" s="19">
        <v>12</v>
      </c>
      <c r="Q19" s="19">
        <v>12</v>
      </c>
      <c r="R19" s="19" t="s">
        <v>40</v>
      </c>
      <c r="S19" s="19">
        <v>12</v>
      </c>
      <c r="T19" s="19">
        <v>12</v>
      </c>
      <c r="U19" s="19">
        <v>12</v>
      </c>
      <c r="V19" s="19">
        <v>12</v>
      </c>
      <c r="W19" s="60"/>
      <c r="X19" s="50" cm="1">
        <f t="array" ref="X19">SUMPRODUCT(--ISNUMBER(H19:W19), --($H$14:$W$14&lt;&gt;"LH"), --($H$14:$W$14&lt;&gt;"SH"))</f>
        <v>11</v>
      </c>
      <c r="Y19" s="19">
        <f t="shared" si="3"/>
        <v>88</v>
      </c>
      <c r="Z19" s="19"/>
      <c r="AA19" s="19">
        <f t="shared" si="4"/>
        <v>44</v>
      </c>
      <c r="AB19" s="19">
        <f t="shared" ref="AB19:AB46" si="6">SUMIF($H$14:$W$14,"LH",$H19:$W19)</f>
        <v>12</v>
      </c>
      <c r="AC19" s="19"/>
      <c r="AD19" s="19">
        <f t="shared" si="5"/>
        <v>12</v>
      </c>
      <c r="AE19" s="51"/>
    </row>
    <row r="20" spans="2:31" ht="24.95" customHeight="1">
      <c r="B20" s="16">
        <f t="shared" si="2"/>
        <v>6</v>
      </c>
      <c r="C20" s="18" t="s">
        <v>72</v>
      </c>
      <c r="D20" s="18">
        <v>4578</v>
      </c>
      <c r="E20" s="18" t="s">
        <v>52</v>
      </c>
      <c r="F20" s="18" t="s">
        <v>51</v>
      </c>
      <c r="G20" s="17" t="s">
        <v>56</v>
      </c>
      <c r="H20" s="59">
        <v>12</v>
      </c>
      <c r="I20" s="19">
        <v>12</v>
      </c>
      <c r="J20" s="19">
        <v>12</v>
      </c>
      <c r="K20" s="19">
        <v>12</v>
      </c>
      <c r="L20" s="19">
        <v>12</v>
      </c>
      <c r="M20" s="19" t="s">
        <v>40</v>
      </c>
      <c r="N20" s="19">
        <v>12</v>
      </c>
      <c r="O20" s="19">
        <v>12</v>
      </c>
      <c r="P20" s="19">
        <v>12</v>
      </c>
      <c r="Q20" s="19">
        <v>12</v>
      </c>
      <c r="R20" s="19">
        <v>12</v>
      </c>
      <c r="S20" s="19">
        <v>12</v>
      </c>
      <c r="T20" s="19" t="s">
        <v>40</v>
      </c>
      <c r="U20" s="19">
        <v>12</v>
      </c>
      <c r="V20" s="19">
        <v>12</v>
      </c>
      <c r="W20" s="60"/>
      <c r="X20" s="50" cm="1">
        <f t="array" ref="X20">SUMPRODUCT(--ISNUMBER(H20:W20), --($H$14:$W$14&lt;&gt;"LH"), --($H$14:$W$14&lt;&gt;"SH"))</f>
        <v>11</v>
      </c>
      <c r="Y20" s="19">
        <f t="shared" si="3"/>
        <v>88</v>
      </c>
      <c r="Z20" s="19"/>
      <c r="AA20" s="19">
        <f t="shared" si="4"/>
        <v>44</v>
      </c>
      <c r="AB20" s="19">
        <f t="shared" si="6"/>
        <v>12</v>
      </c>
      <c r="AC20" s="19"/>
      <c r="AD20" s="19">
        <f t="shared" si="5"/>
        <v>12</v>
      </c>
      <c r="AE20" s="51"/>
    </row>
    <row r="21" spans="2:31" ht="24.95" customHeight="1">
      <c r="B21" s="16">
        <f t="shared" si="2"/>
        <v>7</v>
      </c>
      <c r="C21" s="18" t="s">
        <v>59</v>
      </c>
      <c r="D21" s="18">
        <v>4566</v>
      </c>
      <c r="E21" s="18" t="s">
        <v>52</v>
      </c>
      <c r="F21" s="18" t="s">
        <v>51</v>
      </c>
      <c r="G21" s="17" t="s">
        <v>56</v>
      </c>
      <c r="H21" s="59">
        <v>12</v>
      </c>
      <c r="I21" s="19">
        <v>12</v>
      </c>
      <c r="J21" s="19">
        <v>12</v>
      </c>
      <c r="K21" s="19">
        <v>12</v>
      </c>
      <c r="L21" s="19">
        <v>12</v>
      </c>
      <c r="M21" s="19">
        <v>12</v>
      </c>
      <c r="N21" s="19" t="s">
        <v>40</v>
      </c>
      <c r="O21" s="19">
        <v>12</v>
      </c>
      <c r="P21" s="19">
        <v>12</v>
      </c>
      <c r="Q21" s="19">
        <v>12</v>
      </c>
      <c r="R21" s="19">
        <v>12</v>
      </c>
      <c r="S21" s="19">
        <v>12</v>
      </c>
      <c r="T21" s="19">
        <v>12</v>
      </c>
      <c r="U21" s="19" t="s">
        <v>40</v>
      </c>
      <c r="V21" s="19">
        <v>12</v>
      </c>
      <c r="W21" s="60"/>
      <c r="X21" s="50" cm="1">
        <f t="array" ref="X21">SUMPRODUCT(--ISNUMBER(H21:W21), --($H$14:$W$14&lt;&gt;"LH"), --($H$14:$W$14&lt;&gt;"SH"))</f>
        <v>11</v>
      </c>
      <c r="Y21" s="19">
        <f t="shared" si="3"/>
        <v>88</v>
      </c>
      <c r="Z21" s="19"/>
      <c r="AA21" s="19">
        <f t="shared" si="4"/>
        <v>44</v>
      </c>
      <c r="AB21" s="19">
        <f t="shared" si="6"/>
        <v>12</v>
      </c>
      <c r="AC21" s="19"/>
      <c r="AD21" s="19">
        <f t="shared" si="5"/>
        <v>12</v>
      </c>
      <c r="AE21" s="51"/>
    </row>
    <row r="22" spans="2:31" ht="24.95" customHeight="1">
      <c r="B22" s="16">
        <f t="shared" si="2"/>
        <v>8</v>
      </c>
      <c r="C22" s="18" t="s">
        <v>71</v>
      </c>
      <c r="D22" s="18">
        <v>1569</v>
      </c>
      <c r="E22" s="18" t="s">
        <v>70</v>
      </c>
      <c r="F22" s="18" t="s">
        <v>51</v>
      </c>
      <c r="G22" s="17" t="s">
        <v>56</v>
      </c>
      <c r="H22" s="59">
        <v>12</v>
      </c>
      <c r="I22" s="59" t="s">
        <v>40</v>
      </c>
      <c r="J22" s="19">
        <v>12</v>
      </c>
      <c r="K22" s="19">
        <v>12</v>
      </c>
      <c r="L22" s="19">
        <v>12</v>
      </c>
      <c r="M22" s="59">
        <v>12</v>
      </c>
      <c r="N22" s="19">
        <v>12</v>
      </c>
      <c r="O22" s="19">
        <v>12</v>
      </c>
      <c r="P22" s="59" t="s">
        <v>40</v>
      </c>
      <c r="Q22" s="19">
        <v>12</v>
      </c>
      <c r="R22" s="19">
        <v>12</v>
      </c>
      <c r="S22" s="19">
        <v>12</v>
      </c>
      <c r="T22" s="19">
        <v>12</v>
      </c>
      <c r="U22" s="19">
        <v>12</v>
      </c>
      <c r="V22" s="19">
        <v>12</v>
      </c>
      <c r="W22" s="60"/>
      <c r="X22" s="50" cm="1">
        <f t="array" ref="X22">SUMPRODUCT(--ISNUMBER(H22:W22), --($H$14:$W$14&lt;&gt;"LH"), --($H$14:$W$14&lt;&gt;"SH"))</f>
        <v>12</v>
      </c>
      <c r="Y22" s="19">
        <f t="shared" si="3"/>
        <v>96</v>
      </c>
      <c r="Z22" s="19"/>
      <c r="AA22" s="19">
        <f t="shared" si="4"/>
        <v>48</v>
      </c>
      <c r="AB22" s="19">
        <f t="shared" si="6"/>
        <v>12</v>
      </c>
      <c r="AC22" s="19"/>
      <c r="AD22" s="19">
        <f t="shared" si="5"/>
        <v>0</v>
      </c>
      <c r="AE22" s="65"/>
    </row>
    <row r="23" spans="2:31" ht="24.95" customHeight="1">
      <c r="B23" s="16">
        <f t="shared" si="2"/>
        <v>9</v>
      </c>
      <c r="C23" s="5" t="s">
        <v>106</v>
      </c>
      <c r="D23" s="18">
        <v>4515</v>
      </c>
      <c r="E23" s="18" t="s">
        <v>52</v>
      </c>
      <c r="F23" s="18" t="s">
        <v>60</v>
      </c>
      <c r="G23" s="17" t="s">
        <v>89</v>
      </c>
      <c r="H23" s="59">
        <v>12</v>
      </c>
      <c r="I23" s="59" t="s">
        <v>40</v>
      </c>
      <c r="J23" s="19">
        <v>12</v>
      </c>
      <c r="K23" s="19">
        <v>12</v>
      </c>
      <c r="L23" s="19">
        <v>12</v>
      </c>
      <c r="M23" s="59">
        <v>12</v>
      </c>
      <c r="N23" s="19">
        <v>12</v>
      </c>
      <c r="O23" s="19">
        <v>12</v>
      </c>
      <c r="P23" s="59" t="s">
        <v>40</v>
      </c>
      <c r="Q23" s="19">
        <v>12</v>
      </c>
      <c r="R23" s="19">
        <v>12</v>
      </c>
      <c r="S23" s="19">
        <v>12</v>
      </c>
      <c r="T23" s="19">
        <v>12</v>
      </c>
      <c r="U23" s="19">
        <v>12</v>
      </c>
      <c r="V23" s="19">
        <v>12</v>
      </c>
      <c r="W23" s="60"/>
      <c r="X23" s="50" cm="1">
        <f t="array" ref="X23">SUMPRODUCT(--ISNUMBER(H23:W23), --($H$14:$W$14&lt;&gt;"LH"), --($H$14:$W$14&lt;&gt;"SH"))</f>
        <v>12</v>
      </c>
      <c r="Y23" s="19">
        <f t="shared" si="3"/>
        <v>96</v>
      </c>
      <c r="Z23" s="19"/>
      <c r="AA23" s="19">
        <f t="shared" si="4"/>
        <v>48</v>
      </c>
      <c r="AB23" s="19">
        <f t="shared" si="6"/>
        <v>12</v>
      </c>
      <c r="AC23" s="19"/>
      <c r="AD23" s="19">
        <f t="shared" si="5"/>
        <v>0</v>
      </c>
      <c r="AE23" s="65">
        <v>96</v>
      </c>
    </row>
    <row r="24" spans="2:31" ht="24.95" customHeight="1">
      <c r="B24" s="16">
        <f t="shared" si="2"/>
        <v>10</v>
      </c>
      <c r="C24" s="18" t="s">
        <v>69</v>
      </c>
      <c r="D24" s="18">
        <v>4440</v>
      </c>
      <c r="E24" s="18" t="s">
        <v>52</v>
      </c>
      <c r="F24" s="18" t="s">
        <v>60</v>
      </c>
      <c r="G24" s="17" t="s">
        <v>89</v>
      </c>
      <c r="H24" s="59">
        <v>12</v>
      </c>
      <c r="I24" s="19">
        <v>12</v>
      </c>
      <c r="J24" s="19" t="s">
        <v>40</v>
      </c>
      <c r="K24" s="19">
        <v>12</v>
      </c>
      <c r="L24" s="19">
        <v>12</v>
      </c>
      <c r="M24" s="59">
        <v>12</v>
      </c>
      <c r="N24" s="19">
        <v>12</v>
      </c>
      <c r="O24" s="19">
        <v>12</v>
      </c>
      <c r="P24" s="19">
        <v>12</v>
      </c>
      <c r="Q24" s="19" t="s">
        <v>40</v>
      </c>
      <c r="R24" s="19">
        <v>12</v>
      </c>
      <c r="S24" s="19">
        <v>12</v>
      </c>
      <c r="T24" s="19">
        <v>12</v>
      </c>
      <c r="U24" s="19">
        <v>12</v>
      </c>
      <c r="V24" s="19">
        <v>12</v>
      </c>
      <c r="W24" s="60"/>
      <c r="X24" s="50" cm="1">
        <f t="array" ref="X24">SUMPRODUCT(--ISNUMBER(H24:W24), --($H$14:$W$14&lt;&gt;"LH"), --($H$14:$W$14&lt;&gt;"SH"))</f>
        <v>11</v>
      </c>
      <c r="Y24" s="19">
        <f t="shared" si="3"/>
        <v>88</v>
      </c>
      <c r="Z24" s="19"/>
      <c r="AA24" s="19">
        <f t="shared" si="4"/>
        <v>44</v>
      </c>
      <c r="AB24" s="19">
        <f t="shared" si="6"/>
        <v>12</v>
      </c>
      <c r="AC24" s="19"/>
      <c r="AD24" s="19">
        <f t="shared" si="5"/>
        <v>12</v>
      </c>
      <c r="AE24" s="65">
        <v>88</v>
      </c>
    </row>
    <row r="25" spans="2:31" ht="24.95" customHeight="1">
      <c r="B25" s="16">
        <f t="shared" si="2"/>
        <v>11</v>
      </c>
      <c r="C25" s="18" t="s">
        <v>66</v>
      </c>
      <c r="D25" s="18">
        <v>4488</v>
      </c>
      <c r="E25" s="18" t="s">
        <v>52</v>
      </c>
      <c r="F25" s="18" t="s">
        <v>60</v>
      </c>
      <c r="G25" s="17" t="s">
        <v>89</v>
      </c>
      <c r="H25" s="59">
        <v>12</v>
      </c>
      <c r="I25" s="19">
        <v>12</v>
      </c>
      <c r="J25" s="19">
        <v>12</v>
      </c>
      <c r="K25" s="19" t="s">
        <v>40</v>
      </c>
      <c r="L25" s="19">
        <v>12</v>
      </c>
      <c r="M25" s="59">
        <v>12</v>
      </c>
      <c r="N25" s="19">
        <v>12</v>
      </c>
      <c r="O25" s="19">
        <v>12</v>
      </c>
      <c r="P25" s="19">
        <v>12</v>
      </c>
      <c r="Q25" s="19">
        <v>12</v>
      </c>
      <c r="R25" s="19" t="s">
        <v>40</v>
      </c>
      <c r="S25" s="19">
        <v>12</v>
      </c>
      <c r="T25" s="19">
        <v>12</v>
      </c>
      <c r="U25" s="19">
        <v>12</v>
      </c>
      <c r="V25" s="19">
        <v>12</v>
      </c>
      <c r="W25" s="60"/>
      <c r="X25" s="50" cm="1">
        <f t="array" ref="X25">SUMPRODUCT(--ISNUMBER(H25:W25), --($H$14:$W$14&lt;&gt;"LH"), --($H$14:$W$14&lt;&gt;"SH"))</f>
        <v>11</v>
      </c>
      <c r="Y25" s="19">
        <f t="shared" si="3"/>
        <v>88</v>
      </c>
      <c r="Z25" s="19"/>
      <c r="AA25" s="19">
        <f t="shared" si="4"/>
        <v>44</v>
      </c>
      <c r="AB25" s="19">
        <f t="shared" si="6"/>
        <v>12</v>
      </c>
      <c r="AC25" s="19"/>
      <c r="AD25" s="19">
        <f t="shared" si="5"/>
        <v>12</v>
      </c>
      <c r="AE25" s="65">
        <v>88</v>
      </c>
    </row>
    <row r="26" spans="2:31" ht="24.95" customHeight="1">
      <c r="B26" s="16">
        <f t="shared" si="2"/>
        <v>12</v>
      </c>
      <c r="C26" s="18" t="s">
        <v>58</v>
      </c>
      <c r="D26" s="18">
        <v>4585</v>
      </c>
      <c r="E26" s="18" t="s">
        <v>52</v>
      </c>
      <c r="F26" s="18" t="s">
        <v>60</v>
      </c>
      <c r="G26" s="17" t="s">
        <v>89</v>
      </c>
      <c r="H26" s="59">
        <v>12</v>
      </c>
      <c r="I26" s="19">
        <v>12</v>
      </c>
      <c r="J26" s="19">
        <v>12</v>
      </c>
      <c r="K26" s="19">
        <v>12</v>
      </c>
      <c r="L26" s="19" t="s">
        <v>40</v>
      </c>
      <c r="M26" s="59">
        <v>12</v>
      </c>
      <c r="N26" s="19">
        <v>12</v>
      </c>
      <c r="O26" s="19">
        <v>12</v>
      </c>
      <c r="P26" s="19">
        <v>12</v>
      </c>
      <c r="Q26" s="19">
        <v>12</v>
      </c>
      <c r="R26" s="19">
        <v>12</v>
      </c>
      <c r="S26" s="19" t="s">
        <v>40</v>
      </c>
      <c r="T26" s="19">
        <v>12</v>
      </c>
      <c r="U26" s="19">
        <v>12</v>
      </c>
      <c r="V26" s="19">
        <v>12</v>
      </c>
      <c r="W26" s="60"/>
      <c r="X26" s="50" cm="1">
        <f t="array" ref="X26">SUMPRODUCT(--ISNUMBER(H26:W26), --($H$14:$W$14&lt;&gt;"LH"), --($H$14:$W$14&lt;&gt;"SH"))</f>
        <v>11</v>
      </c>
      <c r="Y26" s="19">
        <f t="shared" si="3"/>
        <v>88</v>
      </c>
      <c r="Z26" s="19"/>
      <c r="AA26" s="19">
        <f t="shared" si="4"/>
        <v>44</v>
      </c>
      <c r="AB26" s="19">
        <f t="shared" si="6"/>
        <v>12</v>
      </c>
      <c r="AC26" s="19"/>
      <c r="AD26" s="19">
        <f t="shared" si="5"/>
        <v>12</v>
      </c>
      <c r="AE26" s="65">
        <v>88</v>
      </c>
    </row>
    <row r="27" spans="2:31" ht="24.95" customHeight="1">
      <c r="B27" s="16">
        <f t="shared" si="2"/>
        <v>13</v>
      </c>
      <c r="C27" s="18" t="s">
        <v>63</v>
      </c>
      <c r="D27" s="18">
        <v>4559</v>
      </c>
      <c r="E27" s="18" t="s">
        <v>52</v>
      </c>
      <c r="F27" s="18" t="s">
        <v>60</v>
      </c>
      <c r="G27" s="17" t="s">
        <v>89</v>
      </c>
      <c r="H27" s="59">
        <v>12</v>
      </c>
      <c r="I27" s="19">
        <v>12</v>
      </c>
      <c r="J27" s="19">
        <v>12</v>
      </c>
      <c r="K27" s="19">
        <v>12</v>
      </c>
      <c r="L27" s="19">
        <v>12</v>
      </c>
      <c r="M27" s="19" t="s">
        <v>40</v>
      </c>
      <c r="N27" s="19">
        <v>12</v>
      </c>
      <c r="O27" s="19">
        <v>12</v>
      </c>
      <c r="P27" s="19">
        <v>12</v>
      </c>
      <c r="Q27" s="19">
        <v>12</v>
      </c>
      <c r="R27" s="19">
        <v>12</v>
      </c>
      <c r="S27" s="19">
        <v>12</v>
      </c>
      <c r="T27" s="19" t="s">
        <v>40</v>
      </c>
      <c r="U27" s="19">
        <v>12</v>
      </c>
      <c r="V27" s="19">
        <v>12</v>
      </c>
      <c r="W27" s="60"/>
      <c r="X27" s="50" cm="1">
        <f t="array" ref="X27">SUMPRODUCT(--ISNUMBER(H27:W27), --($H$14:$W$14&lt;&gt;"LH"), --($H$14:$W$14&lt;&gt;"SH"))</f>
        <v>11</v>
      </c>
      <c r="Y27" s="19">
        <f t="shared" si="3"/>
        <v>88</v>
      </c>
      <c r="Z27" s="19"/>
      <c r="AA27" s="19">
        <f t="shared" si="4"/>
        <v>44</v>
      </c>
      <c r="AB27" s="19">
        <f t="shared" si="6"/>
        <v>12</v>
      </c>
      <c r="AC27" s="19"/>
      <c r="AD27" s="19">
        <f t="shared" si="5"/>
        <v>12</v>
      </c>
      <c r="AE27" s="65">
        <v>88</v>
      </c>
    </row>
    <row r="28" spans="2:31" ht="24.95" customHeight="1">
      <c r="B28" s="16">
        <f t="shared" si="2"/>
        <v>14</v>
      </c>
      <c r="C28" s="18" t="s">
        <v>64</v>
      </c>
      <c r="D28" s="18">
        <v>3869</v>
      </c>
      <c r="E28" s="18" t="s">
        <v>52</v>
      </c>
      <c r="F28" s="18" t="s">
        <v>60</v>
      </c>
      <c r="G28" s="17" t="s">
        <v>89</v>
      </c>
      <c r="H28" s="59">
        <v>12</v>
      </c>
      <c r="I28" s="19">
        <v>12</v>
      </c>
      <c r="J28" s="19">
        <v>12</v>
      </c>
      <c r="K28" s="19">
        <v>12</v>
      </c>
      <c r="L28" s="19">
        <v>12</v>
      </c>
      <c r="M28" s="19">
        <v>12</v>
      </c>
      <c r="N28" s="19" t="s">
        <v>40</v>
      </c>
      <c r="O28" s="19">
        <v>12</v>
      </c>
      <c r="P28" s="19">
        <v>12</v>
      </c>
      <c r="Q28" s="19">
        <v>12</v>
      </c>
      <c r="R28" s="19">
        <v>12</v>
      </c>
      <c r="S28" s="19">
        <v>12</v>
      </c>
      <c r="T28" s="19">
        <v>12</v>
      </c>
      <c r="U28" s="19" t="s">
        <v>40</v>
      </c>
      <c r="V28" s="19">
        <v>12</v>
      </c>
      <c r="W28" s="60"/>
      <c r="X28" s="50" cm="1">
        <f t="array" ref="X28">SUMPRODUCT(--ISNUMBER(H28:W28), --($H$14:$W$14&lt;&gt;"LH"), --($H$14:$W$14&lt;&gt;"SH"))</f>
        <v>11</v>
      </c>
      <c r="Y28" s="19">
        <f t="shared" si="3"/>
        <v>88</v>
      </c>
      <c r="Z28" s="19"/>
      <c r="AA28" s="19">
        <f t="shared" si="4"/>
        <v>44</v>
      </c>
      <c r="AB28" s="19">
        <f t="shared" si="6"/>
        <v>12</v>
      </c>
      <c r="AC28" s="19"/>
      <c r="AD28" s="19">
        <f t="shared" si="5"/>
        <v>12</v>
      </c>
      <c r="AE28" s="65">
        <v>88</v>
      </c>
    </row>
    <row r="29" spans="2:31" ht="24.95" customHeight="1">
      <c r="B29" s="16">
        <f t="shared" si="2"/>
        <v>15</v>
      </c>
      <c r="C29" s="18" t="s">
        <v>92</v>
      </c>
      <c r="D29" s="18">
        <v>4589</v>
      </c>
      <c r="E29" s="18" t="s">
        <v>52</v>
      </c>
      <c r="F29" s="18" t="s">
        <v>60</v>
      </c>
      <c r="G29" s="17" t="s">
        <v>89</v>
      </c>
      <c r="H29" s="59" t="s">
        <v>40</v>
      </c>
      <c r="I29" s="19">
        <v>12</v>
      </c>
      <c r="J29" s="19">
        <v>12</v>
      </c>
      <c r="K29" s="19">
        <v>12</v>
      </c>
      <c r="L29" s="19">
        <v>12</v>
      </c>
      <c r="M29" s="19">
        <v>12</v>
      </c>
      <c r="N29" s="19">
        <v>12</v>
      </c>
      <c r="O29" s="19" t="s">
        <v>40</v>
      </c>
      <c r="P29" s="19">
        <v>12</v>
      </c>
      <c r="Q29" s="19">
        <v>12</v>
      </c>
      <c r="R29" s="19">
        <v>12</v>
      </c>
      <c r="S29" s="19">
        <v>12</v>
      </c>
      <c r="T29" s="19">
        <v>12</v>
      </c>
      <c r="U29" s="19">
        <v>12</v>
      </c>
      <c r="V29" s="19" t="s">
        <v>40</v>
      </c>
      <c r="W29" s="60"/>
      <c r="X29" s="50" cm="1">
        <f t="array" ref="X29">SUMPRODUCT(--ISNUMBER(H29:W29), --($H$14:$W$14&lt;&gt;"LH"), --($H$14:$W$14&lt;&gt;"SH"))</f>
        <v>11</v>
      </c>
      <c r="Y29" s="19">
        <f t="shared" si="3"/>
        <v>88</v>
      </c>
      <c r="Z29" s="19"/>
      <c r="AA29" s="19">
        <f t="shared" si="4"/>
        <v>44</v>
      </c>
      <c r="AB29" s="19">
        <f t="shared" si="6"/>
        <v>0</v>
      </c>
      <c r="AC29" s="19"/>
      <c r="AD29" s="19">
        <f t="shared" si="5"/>
        <v>12</v>
      </c>
      <c r="AE29" s="65">
        <v>88</v>
      </c>
    </row>
    <row r="30" spans="2:31" ht="24.95" customHeight="1">
      <c r="B30" s="16">
        <f t="shared" si="2"/>
        <v>16</v>
      </c>
      <c r="C30" s="18" t="s">
        <v>67</v>
      </c>
      <c r="D30" s="18">
        <v>3873</v>
      </c>
      <c r="E30" s="18" t="s">
        <v>70</v>
      </c>
      <c r="F30" s="18" t="s">
        <v>60</v>
      </c>
      <c r="G30" s="17" t="s">
        <v>89</v>
      </c>
      <c r="H30" s="59">
        <v>12</v>
      </c>
      <c r="I30" s="19" t="s">
        <v>40</v>
      </c>
      <c r="J30" s="19">
        <v>12</v>
      </c>
      <c r="K30" s="19">
        <v>12</v>
      </c>
      <c r="L30" s="19">
        <v>12</v>
      </c>
      <c r="M30" s="19">
        <v>12</v>
      </c>
      <c r="N30" s="19">
        <v>12</v>
      </c>
      <c r="O30" s="19">
        <v>12</v>
      </c>
      <c r="P30" s="19" t="s">
        <v>40</v>
      </c>
      <c r="Q30" s="19">
        <v>12</v>
      </c>
      <c r="R30" s="19">
        <v>12</v>
      </c>
      <c r="S30" s="19">
        <v>12</v>
      </c>
      <c r="T30" s="19">
        <v>12</v>
      </c>
      <c r="U30" s="19">
        <v>12</v>
      </c>
      <c r="V30" s="19">
        <v>12</v>
      </c>
      <c r="W30" s="60"/>
      <c r="X30" s="50" cm="1">
        <f t="array" ref="X30">SUMPRODUCT(--ISNUMBER(H30:W30), --($H$14:$W$14&lt;&gt;"LH"), --($H$14:$W$14&lt;&gt;"SH"))</f>
        <v>12</v>
      </c>
      <c r="Y30" s="19">
        <f t="shared" si="3"/>
        <v>96</v>
      </c>
      <c r="Z30" s="19"/>
      <c r="AA30" s="19">
        <f t="shared" si="4"/>
        <v>36</v>
      </c>
      <c r="AB30" s="19">
        <f t="shared" si="6"/>
        <v>12</v>
      </c>
      <c r="AC30" s="19"/>
      <c r="AD30" s="19">
        <v>12</v>
      </c>
      <c r="AE30" s="65">
        <v>96</v>
      </c>
    </row>
    <row r="31" spans="2:31" ht="24.95" customHeight="1">
      <c r="B31" s="16">
        <f t="shared" si="2"/>
        <v>17</v>
      </c>
      <c r="C31" s="66" t="s">
        <v>90</v>
      </c>
      <c r="D31" s="18"/>
      <c r="E31" s="18"/>
      <c r="F31" s="18"/>
      <c r="G31" s="17"/>
      <c r="H31" s="5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60"/>
      <c r="X31" s="50" cm="1">
        <f t="array" ref="X31">SUMPRODUCT(--ISNUMBER(H31:W31), --($H$14:$W$14&lt;&gt;"LH"), --($H$14:$W$14&lt;&gt;"SH"))</f>
        <v>0</v>
      </c>
      <c r="Y31" s="19">
        <f t="shared" si="3"/>
        <v>0</v>
      </c>
      <c r="Z31" s="19"/>
      <c r="AA31" s="19">
        <f t="shared" si="4"/>
        <v>0</v>
      </c>
      <c r="AB31" s="19">
        <f t="shared" si="6"/>
        <v>0</v>
      </c>
      <c r="AC31" s="19"/>
      <c r="AD31" s="19">
        <f t="shared" si="5"/>
        <v>0</v>
      </c>
      <c r="AE31" s="65"/>
    </row>
    <row r="32" spans="2:31" ht="24.95" customHeight="1">
      <c r="B32" s="16">
        <f t="shared" si="2"/>
        <v>18</v>
      </c>
      <c r="C32" s="18"/>
      <c r="D32" s="18"/>
      <c r="E32" s="18"/>
      <c r="F32" s="18"/>
      <c r="G32" s="17"/>
      <c r="H32" s="5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60"/>
      <c r="X32" s="50" cm="1">
        <f t="array" ref="X32">SUMPRODUCT(--ISNUMBER(H32:W32), --($H$14:$W$14&lt;&gt;"LH"), --($H$14:$W$14&lt;&gt;"SH"))</f>
        <v>0</v>
      </c>
      <c r="Y32" s="19">
        <f t="shared" si="3"/>
        <v>0</v>
      </c>
      <c r="Z32" s="19"/>
      <c r="AA32" s="19">
        <f t="shared" si="4"/>
        <v>0</v>
      </c>
      <c r="AB32" s="19">
        <f t="shared" si="6"/>
        <v>0</v>
      </c>
      <c r="AC32" s="19"/>
      <c r="AD32" s="19">
        <f t="shared" si="5"/>
        <v>0</v>
      </c>
      <c r="AE32" s="65"/>
    </row>
    <row r="33" spans="2:31" ht="24.95" customHeight="1">
      <c r="B33" s="16">
        <f t="shared" si="2"/>
        <v>19</v>
      </c>
      <c r="C33" s="18"/>
      <c r="D33" s="18"/>
      <c r="E33" s="18"/>
      <c r="F33" s="18"/>
      <c r="G33" s="17"/>
      <c r="H33" s="5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60"/>
      <c r="X33" s="50" cm="1">
        <f t="array" ref="X33">SUMPRODUCT(--ISNUMBER(H33:W33), --($H$14:$W$14&lt;&gt;"LH"), --($H$14:$W$14&lt;&gt;"SH"))</f>
        <v>0</v>
      </c>
      <c r="Y33" s="19">
        <f t="shared" si="3"/>
        <v>0</v>
      </c>
      <c r="Z33" s="19"/>
      <c r="AA33" s="19">
        <f t="shared" si="4"/>
        <v>0</v>
      </c>
      <c r="AB33" s="19">
        <f t="shared" si="6"/>
        <v>0</v>
      </c>
      <c r="AC33" s="19"/>
      <c r="AD33" s="19">
        <f t="shared" si="5"/>
        <v>0</v>
      </c>
      <c r="AE33" s="65"/>
    </row>
    <row r="34" spans="2:31" ht="24.95" customHeight="1">
      <c r="B34" s="16">
        <f t="shared" si="2"/>
        <v>20</v>
      </c>
      <c r="C34" s="18"/>
      <c r="D34" s="18"/>
      <c r="E34" s="18"/>
      <c r="F34" s="18"/>
      <c r="G34" s="17"/>
      <c r="H34" s="5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60"/>
      <c r="X34" s="50" cm="1">
        <f t="array" ref="X34">SUMPRODUCT(--ISNUMBER(H34:W34), --($H$14:$W$14&lt;&gt;"LH"), --($H$14:$W$14&lt;&gt;"SH"))</f>
        <v>0</v>
      </c>
      <c r="Y34" s="19">
        <f t="shared" si="3"/>
        <v>0</v>
      </c>
      <c r="Z34" s="19"/>
      <c r="AA34" s="19">
        <f t="shared" si="4"/>
        <v>0</v>
      </c>
      <c r="AB34" s="19">
        <f t="shared" si="6"/>
        <v>0</v>
      </c>
      <c r="AC34" s="19"/>
      <c r="AD34" s="19">
        <f t="shared" si="5"/>
        <v>0</v>
      </c>
      <c r="AE34" s="65"/>
    </row>
    <row r="35" spans="2:31" ht="24.95" customHeight="1">
      <c r="B35" s="16">
        <f t="shared" si="2"/>
        <v>21</v>
      </c>
      <c r="C35" s="18"/>
      <c r="D35" s="18"/>
      <c r="E35" s="18"/>
      <c r="F35" s="18"/>
      <c r="G35" s="17"/>
      <c r="H35" s="5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60"/>
      <c r="X35" s="50" cm="1">
        <f t="array" ref="X35">SUMPRODUCT(--ISNUMBER(H35:W35), --($H$14:$W$14&lt;&gt;"LH"), --($H$14:$W$14&lt;&gt;"SH"))</f>
        <v>0</v>
      </c>
      <c r="Y35" s="19">
        <f t="shared" si="3"/>
        <v>0</v>
      </c>
      <c r="Z35" s="19"/>
      <c r="AA35" s="19">
        <f t="shared" si="4"/>
        <v>0</v>
      </c>
      <c r="AB35" s="19">
        <f t="shared" si="6"/>
        <v>0</v>
      </c>
      <c r="AC35" s="19"/>
      <c r="AD35" s="19">
        <f t="shared" si="5"/>
        <v>0</v>
      </c>
      <c r="AE35" s="65"/>
    </row>
    <row r="36" spans="2:31" ht="24.95" customHeight="1">
      <c r="B36" s="16">
        <f t="shared" si="2"/>
        <v>22</v>
      </c>
      <c r="C36" s="18"/>
      <c r="D36" s="18"/>
      <c r="E36" s="18"/>
      <c r="F36" s="18"/>
      <c r="G36" s="17"/>
      <c r="H36" s="5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60"/>
      <c r="X36" s="50" cm="1">
        <f t="array" ref="X36">SUMPRODUCT(--ISNUMBER(H36:W36), --($H$14:$W$14&lt;&gt;"LH"), --($H$14:$W$14&lt;&gt;"SH"))</f>
        <v>0</v>
      </c>
      <c r="Y36" s="19">
        <f t="shared" si="3"/>
        <v>0</v>
      </c>
      <c r="Z36" s="19"/>
      <c r="AA36" s="19">
        <f t="shared" si="4"/>
        <v>0</v>
      </c>
      <c r="AB36" s="19">
        <f t="shared" si="6"/>
        <v>0</v>
      </c>
      <c r="AC36" s="19"/>
      <c r="AD36" s="19">
        <f t="shared" si="5"/>
        <v>0</v>
      </c>
      <c r="AE36" s="65"/>
    </row>
    <row r="37" spans="2:31" ht="24.95" customHeight="1">
      <c r="B37" s="16">
        <f t="shared" si="2"/>
        <v>23</v>
      </c>
      <c r="C37" s="18"/>
      <c r="D37" s="18"/>
      <c r="E37" s="18"/>
      <c r="F37" s="18"/>
      <c r="G37" s="17"/>
      <c r="H37" s="5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60"/>
      <c r="X37" s="50" cm="1">
        <f t="array" ref="X37">SUMPRODUCT(--ISNUMBER(H37:W37), --($H$14:$W$14&lt;&gt;"LH"), --($H$14:$W$14&lt;&gt;"SH"))</f>
        <v>0</v>
      </c>
      <c r="Y37" s="19">
        <f t="shared" si="3"/>
        <v>0</v>
      </c>
      <c r="Z37" s="19"/>
      <c r="AA37" s="19">
        <f t="shared" si="4"/>
        <v>0</v>
      </c>
      <c r="AB37" s="19">
        <f t="shared" si="6"/>
        <v>0</v>
      </c>
      <c r="AC37" s="19"/>
      <c r="AD37" s="19">
        <f t="shared" si="5"/>
        <v>0</v>
      </c>
      <c r="AE37" s="65"/>
    </row>
    <row r="38" spans="2:31" ht="24.95" customHeight="1">
      <c r="B38" s="16">
        <f t="shared" si="2"/>
        <v>24</v>
      </c>
      <c r="C38" s="18"/>
      <c r="D38" s="18"/>
      <c r="E38" s="18"/>
      <c r="F38" s="18"/>
      <c r="G38" s="17"/>
      <c r="H38" s="5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60"/>
      <c r="X38" s="50" cm="1">
        <f t="array" ref="X38">SUMPRODUCT(--ISNUMBER(H38:W38), --($H$14:$W$14&lt;&gt;"LH"), --($H$14:$W$14&lt;&gt;"SH"))</f>
        <v>0</v>
      </c>
      <c r="Y38" s="19">
        <f t="shared" si="3"/>
        <v>0</v>
      </c>
      <c r="Z38" s="19"/>
      <c r="AA38" s="19">
        <f t="shared" si="4"/>
        <v>0</v>
      </c>
      <c r="AB38" s="19">
        <f t="shared" si="6"/>
        <v>0</v>
      </c>
      <c r="AC38" s="19"/>
      <c r="AD38" s="19">
        <f t="shared" si="5"/>
        <v>0</v>
      </c>
      <c r="AE38" s="65"/>
    </row>
    <row r="39" spans="2:31" ht="24.95" customHeight="1">
      <c r="B39" s="16">
        <f t="shared" si="2"/>
        <v>25</v>
      </c>
      <c r="C39" s="18"/>
      <c r="D39" s="18"/>
      <c r="E39" s="18"/>
      <c r="F39" s="18"/>
      <c r="G39" s="17"/>
      <c r="H39" s="5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60"/>
      <c r="X39" s="50" cm="1">
        <f t="array" ref="X39">SUMPRODUCT(--ISNUMBER(H39:W39), --($H$14:$W$14&lt;&gt;"LH"), --($H$14:$W$14&lt;&gt;"SH"))</f>
        <v>0</v>
      </c>
      <c r="Y39" s="19">
        <f t="shared" si="3"/>
        <v>0</v>
      </c>
      <c r="Z39" s="19"/>
      <c r="AA39" s="19">
        <f t="shared" si="4"/>
        <v>0</v>
      </c>
      <c r="AB39" s="19">
        <f t="shared" si="6"/>
        <v>0</v>
      </c>
      <c r="AC39" s="19"/>
      <c r="AD39" s="19">
        <f t="shared" si="5"/>
        <v>0</v>
      </c>
      <c r="AE39" s="65"/>
    </row>
    <row r="40" spans="2:31" ht="24.95" customHeight="1">
      <c r="B40" s="16">
        <f t="shared" si="2"/>
        <v>26</v>
      </c>
      <c r="C40" s="18"/>
      <c r="D40" s="18"/>
      <c r="E40" s="18"/>
      <c r="F40" s="18"/>
      <c r="G40" s="17"/>
      <c r="H40" s="5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60"/>
      <c r="X40" s="50" cm="1">
        <f t="array" ref="X40">SUMPRODUCT(--ISNUMBER(H40:W40), --($H$14:$W$14&lt;&gt;"LH"), --($H$14:$W$14&lt;&gt;"SH"))</f>
        <v>0</v>
      </c>
      <c r="Y40" s="19">
        <f t="shared" si="3"/>
        <v>0</v>
      </c>
      <c r="Z40" s="19"/>
      <c r="AA40" s="19">
        <f t="shared" si="4"/>
        <v>0</v>
      </c>
      <c r="AB40" s="19">
        <f t="shared" si="6"/>
        <v>0</v>
      </c>
      <c r="AC40" s="19"/>
      <c r="AD40" s="19">
        <f t="shared" si="5"/>
        <v>0</v>
      </c>
      <c r="AE40" s="65"/>
    </row>
    <row r="41" spans="2:31" ht="24.95" customHeight="1">
      <c r="B41" s="16">
        <f t="shared" si="2"/>
        <v>27</v>
      </c>
      <c r="C41" s="18"/>
      <c r="D41" s="18"/>
      <c r="E41" s="18"/>
      <c r="F41" s="18"/>
      <c r="G41" s="17"/>
      <c r="H41" s="5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60"/>
      <c r="X41" s="50" cm="1">
        <f t="array" ref="X41">SUMPRODUCT(--ISNUMBER(H41:W41), --($H$14:$W$14&lt;&gt;"LH"), --($H$14:$W$14&lt;&gt;"SH"))</f>
        <v>0</v>
      </c>
      <c r="Y41" s="19">
        <f t="shared" si="3"/>
        <v>0</v>
      </c>
      <c r="Z41" s="19"/>
      <c r="AA41" s="19">
        <f t="shared" si="4"/>
        <v>0</v>
      </c>
      <c r="AB41" s="19">
        <f t="shared" si="6"/>
        <v>0</v>
      </c>
      <c r="AC41" s="19"/>
      <c r="AD41" s="19">
        <f t="shared" si="5"/>
        <v>0</v>
      </c>
      <c r="AE41" s="65"/>
    </row>
    <row r="42" spans="2:31" ht="24.95" customHeight="1">
      <c r="B42" s="16">
        <f t="shared" si="2"/>
        <v>28</v>
      </c>
      <c r="C42" s="18"/>
      <c r="D42" s="18"/>
      <c r="E42" s="18"/>
      <c r="F42" s="18"/>
      <c r="G42" s="17"/>
      <c r="H42" s="5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60"/>
      <c r="X42" s="50" cm="1">
        <f t="array" ref="X42">SUMPRODUCT(--ISNUMBER(H42:W42), --($H$14:$W$14&lt;&gt;"LH"), --($H$14:$W$14&lt;&gt;"SH"))</f>
        <v>0</v>
      </c>
      <c r="Y42" s="19">
        <f t="shared" si="3"/>
        <v>0</v>
      </c>
      <c r="Z42" s="19"/>
      <c r="AA42" s="19">
        <f t="shared" si="4"/>
        <v>0</v>
      </c>
      <c r="AB42" s="19">
        <f t="shared" si="6"/>
        <v>0</v>
      </c>
      <c r="AC42" s="19"/>
      <c r="AD42" s="19">
        <f t="shared" si="5"/>
        <v>0</v>
      </c>
      <c r="AE42" s="65"/>
    </row>
    <row r="43" spans="2:31" ht="24.95" customHeight="1">
      <c r="B43" s="16">
        <f t="shared" si="2"/>
        <v>29</v>
      </c>
      <c r="C43" s="18"/>
      <c r="D43" s="18"/>
      <c r="E43" s="18"/>
      <c r="F43" s="18"/>
      <c r="G43" s="17"/>
      <c r="H43" s="5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60"/>
      <c r="X43" s="50" cm="1">
        <f t="array" ref="X43">SUMPRODUCT(--ISNUMBER(H43:W43), --($H$14:$W$14&lt;&gt;"LH"), --($H$14:$W$14&lt;&gt;"SH"))</f>
        <v>0</v>
      </c>
      <c r="Y43" s="19">
        <f t="shared" si="3"/>
        <v>0</v>
      </c>
      <c r="Z43" s="19"/>
      <c r="AA43" s="19">
        <f t="shared" si="4"/>
        <v>0</v>
      </c>
      <c r="AB43" s="19">
        <f t="shared" si="6"/>
        <v>0</v>
      </c>
      <c r="AC43" s="19"/>
      <c r="AD43" s="19">
        <f t="shared" si="5"/>
        <v>0</v>
      </c>
      <c r="AE43" s="65"/>
    </row>
    <row r="44" spans="2:31" ht="24.95" customHeight="1">
      <c r="B44" s="16">
        <f t="shared" si="2"/>
        <v>30</v>
      </c>
      <c r="C44" s="18"/>
      <c r="D44" s="18"/>
      <c r="E44" s="18"/>
      <c r="F44" s="18"/>
      <c r="G44" s="17"/>
      <c r="H44" s="5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60"/>
      <c r="X44" s="50" cm="1">
        <f t="array" ref="X44">SUMPRODUCT(--ISNUMBER(H44:W44), --($H$14:$W$14&lt;&gt;"LH"), --($H$14:$W$14&lt;&gt;"SH"))</f>
        <v>0</v>
      </c>
      <c r="Y44" s="19">
        <f t="shared" si="3"/>
        <v>0</v>
      </c>
      <c r="Z44" s="19"/>
      <c r="AA44" s="19">
        <f t="shared" si="4"/>
        <v>0</v>
      </c>
      <c r="AB44" s="19">
        <f t="shared" si="6"/>
        <v>0</v>
      </c>
      <c r="AC44" s="19"/>
      <c r="AD44" s="19">
        <f t="shared" si="5"/>
        <v>0</v>
      </c>
      <c r="AE44" s="65"/>
    </row>
    <row r="45" spans="2:31" ht="24.95" customHeight="1">
      <c r="B45" s="16">
        <f t="shared" si="2"/>
        <v>31</v>
      </c>
      <c r="C45" s="18"/>
      <c r="D45" s="18"/>
      <c r="E45" s="18"/>
      <c r="F45" s="18"/>
      <c r="G45" s="17"/>
      <c r="H45" s="5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60"/>
      <c r="X45" s="50" cm="1">
        <f t="array" ref="X45">SUMPRODUCT(--ISNUMBER(H45:W45), --($H$14:$W$14&lt;&gt;"LH"), --($H$14:$W$14&lt;&gt;"SH"))</f>
        <v>0</v>
      </c>
      <c r="Y45" s="19">
        <f t="shared" si="3"/>
        <v>0</v>
      </c>
      <c r="Z45" s="19"/>
      <c r="AA45" s="19">
        <f t="shared" si="4"/>
        <v>0</v>
      </c>
      <c r="AB45" s="19">
        <f t="shared" si="6"/>
        <v>0</v>
      </c>
      <c r="AC45" s="19"/>
      <c r="AD45" s="19">
        <f t="shared" si="5"/>
        <v>0</v>
      </c>
      <c r="AE45" s="65"/>
    </row>
    <row r="46" spans="2:31" ht="24.95" customHeight="1">
      <c r="B46" s="16">
        <f t="shared" si="2"/>
        <v>32</v>
      </c>
      <c r="C46" s="18"/>
      <c r="D46" s="18"/>
      <c r="E46" s="18"/>
      <c r="F46" s="18"/>
      <c r="G46" s="17"/>
      <c r="H46" s="5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60"/>
      <c r="X46" s="50" cm="1">
        <f t="array" ref="X46">SUMPRODUCT(--ISNUMBER(H46:W46), --($H$14:$W$14&lt;&gt;"LH"), --($H$14:$W$14&lt;&gt;"SH"))</f>
        <v>0</v>
      </c>
      <c r="Y46" s="19">
        <f t="shared" si="3"/>
        <v>0</v>
      </c>
      <c r="Z46" s="19"/>
      <c r="AA46" s="19">
        <f t="shared" si="4"/>
        <v>0</v>
      </c>
      <c r="AB46" s="19">
        <f t="shared" si="6"/>
        <v>0</v>
      </c>
      <c r="AC46" s="19"/>
      <c r="AD46" s="19">
        <f t="shared" si="5"/>
        <v>0</v>
      </c>
      <c r="AE46" s="65"/>
    </row>
    <row r="47" spans="2:31" ht="22.5" customHeight="1" thickBot="1">
      <c r="B47" s="19"/>
      <c r="C47" s="18"/>
      <c r="D47" s="18"/>
      <c r="E47" s="82" t="s">
        <v>54</v>
      </c>
      <c r="F47" s="83"/>
      <c r="G47" s="68">
        <f>SUM(H47:W47)</f>
        <v>206</v>
      </c>
      <c r="H47" s="61">
        <f t="shared" ref="H47:W47" si="7">COUNTA(H15:H46)-COUNTIF(H15:H46,"A")-COUNTIF(H15:H46,"D")-COUNTIF(H15:H46,"L")</f>
        <v>13</v>
      </c>
      <c r="I47" s="61">
        <f t="shared" si="7"/>
        <v>13</v>
      </c>
      <c r="J47" s="61">
        <f t="shared" si="7"/>
        <v>14</v>
      </c>
      <c r="K47" s="61">
        <f t="shared" si="7"/>
        <v>14</v>
      </c>
      <c r="L47" s="61">
        <f t="shared" si="7"/>
        <v>14</v>
      </c>
      <c r="M47" s="61">
        <f t="shared" si="7"/>
        <v>14</v>
      </c>
      <c r="N47" s="61">
        <f t="shared" si="7"/>
        <v>14</v>
      </c>
      <c r="O47" s="61">
        <f t="shared" si="7"/>
        <v>13</v>
      </c>
      <c r="P47" s="61">
        <f t="shared" si="7"/>
        <v>13</v>
      </c>
      <c r="Q47" s="61">
        <f t="shared" si="7"/>
        <v>14</v>
      </c>
      <c r="R47" s="61">
        <f t="shared" si="7"/>
        <v>14</v>
      </c>
      <c r="S47" s="61">
        <f t="shared" si="7"/>
        <v>14</v>
      </c>
      <c r="T47" s="61">
        <f t="shared" si="7"/>
        <v>14</v>
      </c>
      <c r="U47" s="61">
        <f t="shared" si="7"/>
        <v>14</v>
      </c>
      <c r="V47" s="61">
        <f t="shared" si="7"/>
        <v>14</v>
      </c>
      <c r="W47" s="61">
        <f t="shared" si="7"/>
        <v>0</v>
      </c>
      <c r="X47" s="46">
        <f t="shared" ref="X47:AE47" si="8">SUM(X15:X46)</f>
        <v>180</v>
      </c>
      <c r="Y47" s="47">
        <f t="shared" si="8"/>
        <v>1440</v>
      </c>
      <c r="Z47" s="47">
        <f t="shared" si="8"/>
        <v>0</v>
      </c>
      <c r="AA47" s="47">
        <f t="shared" si="8"/>
        <v>732</v>
      </c>
      <c r="AB47" s="47">
        <f t="shared" si="8"/>
        <v>132</v>
      </c>
      <c r="AC47" s="47">
        <f t="shared" si="8"/>
        <v>0</v>
      </c>
      <c r="AD47" s="47">
        <f t="shared" si="8"/>
        <v>168</v>
      </c>
      <c r="AE47" s="47">
        <f t="shared" si="8"/>
        <v>720</v>
      </c>
    </row>
    <row r="49" spans="2:31" ht="15.75">
      <c r="B49" s="20" t="s">
        <v>28</v>
      </c>
      <c r="H49" s="78" t="s">
        <v>33</v>
      </c>
      <c r="I49" s="78"/>
      <c r="J49" s="78"/>
      <c r="K49" s="78"/>
      <c r="R49" s="78" t="s">
        <v>34</v>
      </c>
      <c r="S49" s="78"/>
      <c r="T49" s="78"/>
      <c r="U49" s="78"/>
      <c r="Z49" s="4"/>
      <c r="AA49" s="1" t="s">
        <v>16</v>
      </c>
      <c r="AB49" s="41"/>
      <c r="AC49" s="2"/>
      <c r="AD49" s="38"/>
      <c r="AE49" s="4"/>
    </row>
    <row r="50" spans="2:31" ht="15.75">
      <c r="U50" s="3"/>
      <c r="Z50" s="38"/>
      <c r="AA50" s="24" t="s">
        <v>17</v>
      </c>
      <c r="AB50" s="42"/>
      <c r="AC50" s="6"/>
      <c r="AD50" s="38"/>
      <c r="AE50" s="3"/>
    </row>
    <row r="51" spans="2:31" ht="15.75">
      <c r="U51" s="3"/>
      <c r="Z51" s="38"/>
      <c r="AA51" s="24" t="s">
        <v>18</v>
      </c>
      <c r="AB51" s="42"/>
      <c r="AC51" s="6"/>
      <c r="AD51" s="38"/>
      <c r="AE51" s="3"/>
    </row>
    <row r="52" spans="2:31" ht="15.75">
      <c r="B52" s="79"/>
      <c r="C52" s="79"/>
      <c r="D52" s="79"/>
      <c r="E52" s="25"/>
      <c r="F52" s="25"/>
      <c r="G52" s="25"/>
      <c r="H52" s="79"/>
      <c r="I52" s="79"/>
      <c r="J52" s="79"/>
      <c r="K52" s="79"/>
      <c r="L52" s="79"/>
      <c r="M52" s="79"/>
      <c r="N52" s="79"/>
      <c r="O52" s="26"/>
      <c r="P52" s="26"/>
      <c r="Q52" s="26"/>
      <c r="R52" s="79" t="s">
        <v>95</v>
      </c>
      <c r="S52" s="79"/>
      <c r="T52" s="79"/>
      <c r="U52" s="79"/>
      <c r="V52" s="79"/>
      <c r="W52" s="79"/>
      <c r="X52" s="79"/>
      <c r="Z52" s="38"/>
      <c r="AA52" s="24" t="s">
        <v>19</v>
      </c>
      <c r="AB52" s="42"/>
      <c r="AC52" s="6"/>
      <c r="AD52" s="38"/>
      <c r="AE52" s="3"/>
    </row>
    <row r="53" spans="2:31" ht="15.75" customHeight="1">
      <c r="B53" s="81" t="s">
        <v>29</v>
      </c>
      <c r="C53" s="81"/>
      <c r="D53" s="81"/>
      <c r="H53" s="80" t="s">
        <v>30</v>
      </c>
      <c r="I53" s="80"/>
      <c r="J53" s="80"/>
      <c r="K53" s="80"/>
      <c r="L53" s="80"/>
      <c r="M53" s="80"/>
      <c r="N53" s="80"/>
      <c r="O53" s="13"/>
      <c r="P53" s="13"/>
      <c r="Q53" s="13"/>
      <c r="R53" s="80" t="s">
        <v>31</v>
      </c>
      <c r="S53" s="80"/>
      <c r="T53" s="80"/>
      <c r="U53" s="80"/>
      <c r="V53" s="80"/>
      <c r="W53" s="80"/>
      <c r="X53" s="80"/>
      <c r="Z53" s="38"/>
      <c r="AA53" s="24" t="s">
        <v>20</v>
      </c>
      <c r="AB53" s="7"/>
      <c r="AC53" s="38"/>
      <c r="AD53" s="38"/>
      <c r="AE53" s="3"/>
    </row>
    <row r="54" spans="2:31" ht="15.75">
      <c r="U54" s="3"/>
      <c r="Z54" s="38"/>
      <c r="AA54" s="24" t="s">
        <v>21</v>
      </c>
      <c r="AB54" s="42"/>
      <c r="AC54" s="6"/>
      <c r="AD54" s="38"/>
      <c r="AE54" s="3"/>
    </row>
    <row r="55" spans="2:31" ht="15.75">
      <c r="U55" s="3"/>
      <c r="Z55" s="38"/>
      <c r="AA55" s="24" t="s">
        <v>22</v>
      </c>
      <c r="AB55" s="42"/>
      <c r="AC55" s="6"/>
      <c r="AD55" s="38"/>
      <c r="AE55" s="3"/>
    </row>
    <row r="56" spans="2:31" ht="15.75">
      <c r="B56" s="21"/>
      <c r="C56" s="21"/>
      <c r="D56" s="21"/>
      <c r="E56" s="21"/>
      <c r="F56" s="21"/>
      <c r="G56" s="21"/>
      <c r="H56" s="21"/>
      <c r="I56" s="22"/>
      <c r="J56" s="22"/>
      <c r="K56" s="21"/>
      <c r="L56" s="21"/>
      <c r="M56" s="22"/>
      <c r="U56" s="7"/>
      <c r="Z56" s="38"/>
      <c r="AA56" s="24" t="s">
        <v>23</v>
      </c>
      <c r="AB56" s="7"/>
      <c r="AC56" s="38"/>
      <c r="AD56" s="38"/>
      <c r="AE56" s="3"/>
    </row>
    <row r="57" spans="2:31" ht="15.75">
      <c r="B57" s="21" t="s">
        <v>32</v>
      </c>
      <c r="C57" s="23"/>
      <c r="D57" s="23"/>
      <c r="E57" s="23"/>
      <c r="F57" s="23"/>
      <c r="G57" s="23"/>
      <c r="H57" s="23"/>
      <c r="I57" s="23"/>
      <c r="J57" s="24"/>
      <c r="K57" s="24"/>
      <c r="L57" s="23"/>
      <c r="M57" s="23"/>
      <c r="N57" s="22"/>
      <c r="O57" s="21"/>
      <c r="U57" s="3"/>
      <c r="Z57" s="38"/>
      <c r="AA57" s="24" t="s">
        <v>24</v>
      </c>
      <c r="AB57" s="7"/>
      <c r="AC57" s="38"/>
      <c r="AD57" s="38"/>
      <c r="AE57" s="3"/>
    </row>
    <row r="58" spans="2:31" ht="15.75">
      <c r="B58" s="22"/>
      <c r="C58" s="23"/>
      <c r="D58" s="24"/>
      <c r="E58" s="24"/>
      <c r="F58" s="24"/>
      <c r="G58" s="24"/>
      <c r="H58" s="24"/>
      <c r="I58" s="24"/>
      <c r="J58" s="24"/>
      <c r="K58" s="24"/>
      <c r="L58" s="23"/>
      <c r="M58" s="23"/>
      <c r="N58" s="22"/>
      <c r="O58" s="21"/>
      <c r="U58" s="3"/>
      <c r="Z58" s="38"/>
      <c r="AA58" s="24" t="s">
        <v>25</v>
      </c>
      <c r="AB58" s="7"/>
      <c r="AC58" s="38"/>
      <c r="AD58" s="38"/>
      <c r="AE58" s="3"/>
    </row>
    <row r="59" spans="2:31" ht="15.75">
      <c r="B59" s="22"/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2"/>
      <c r="O59" s="21"/>
      <c r="U59" s="3"/>
      <c r="Z59" s="38"/>
      <c r="AA59" s="40" t="s">
        <v>26</v>
      </c>
      <c r="AB59" s="43"/>
      <c r="AC59" s="39"/>
      <c r="AD59" s="38"/>
      <c r="AE59" s="3"/>
    </row>
    <row r="60" spans="2:31" ht="15.75">
      <c r="U60" s="3"/>
      <c r="Z60" s="39"/>
      <c r="AA60" s="40" t="s">
        <v>27</v>
      </c>
      <c r="AB60" s="43"/>
      <c r="AC60" s="39"/>
      <c r="AD60" s="39"/>
      <c r="AE60" s="9"/>
    </row>
    <row r="61" spans="2:31" ht="15.75">
      <c r="B61" s="20"/>
      <c r="C61" s="20"/>
      <c r="D61" s="20"/>
      <c r="E61" s="20"/>
      <c r="F61" s="20"/>
      <c r="G61" s="20"/>
      <c r="H61" s="20"/>
      <c r="I61" s="20"/>
      <c r="U61" s="8"/>
      <c r="Z61" s="39"/>
      <c r="AD61" s="39"/>
      <c r="AE61" s="9"/>
    </row>
    <row r="62" spans="2:31" ht="15.75">
      <c r="U62" s="8"/>
      <c r="Z62" s="39"/>
      <c r="AD62" s="39"/>
      <c r="AE62" s="9"/>
    </row>
  </sheetData>
  <sheetProtection insertRows="0"/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D23 E23:E28 F23:F29 C30:F30 C29:E29 C24:D28 C31:AD46 J21:J23 K21:K24 L22:L25 H19:H28 O20:O28 Q20:Q23 R21:R24 S22:S25 U20:U27 C15:AE22 G23:AD30 AE23:AE46">
    <cfRule type="containsBlanks" dxfId="173" priority="28">
      <formula>LEN(TRIM(C15))=0</formula>
    </cfRule>
  </conditionalFormatting>
  <conditionalFormatting sqref="H12:W12">
    <cfRule type="expression" priority="26">
      <formula>TEXT($D$9+COLUMN()-COLUMN($H$12),"ddd")="Sun"</formula>
    </cfRule>
    <cfRule type="expression" dxfId="172" priority="27">
      <formula>TEXT($D$9+COLUMN()-COLUMN($H$12),"ddd")="Sun"</formula>
    </cfRule>
  </conditionalFormatting>
  <conditionalFormatting sqref="H14:W14">
    <cfRule type="containsBlanks" dxfId="171" priority="4">
      <formula>LEN(TRIM(H14))=0</formula>
    </cfRule>
    <cfRule type="expression" dxfId="170" priority="5">
      <formula>EXACT(H14, "S")</formula>
    </cfRule>
    <cfRule type="expression" dxfId="169" priority="6">
      <formula>EXACT(H14, "R")</formula>
    </cfRule>
    <cfRule type="expression" dxfId="168" priority="7">
      <formula>EXACT(H14, "T")</formula>
    </cfRule>
    <cfRule type="containsText" dxfId="167" priority="8" operator="containsText" text="SH">
      <formula>NOT(ISERROR(SEARCH("SH",H14)))</formula>
    </cfRule>
    <cfRule type="expression" dxfId="166" priority="9">
      <formula>EXACT(H14, "RS")</formula>
    </cfRule>
    <cfRule type="containsText" dxfId="165" priority="10" operator="containsText" text="LH">
      <formula>NOT(ISERROR(SEARCH("LH",H14)))</formula>
    </cfRule>
    <cfRule type="expression" dxfId="164" priority="11">
      <formula>EXACT(H14, "LR")</formula>
    </cfRule>
    <cfRule type="expression" dxfId="163" priority="12">
      <formula>EXACT(H14, "L")</formula>
    </cfRule>
    <cfRule type="expression" dxfId="162" priority="13">
      <formula>EXACT(H14, "D")</formula>
    </cfRule>
    <cfRule type="expression" dxfId="161" priority="14">
      <formula>EXACT(H14, "A")</formula>
    </cfRule>
  </conditionalFormatting>
  <conditionalFormatting sqref="J16 H15:W15">
    <cfRule type="containsBlanks" dxfId="160" priority="15">
      <formula>LEN(TRIM(H15))=0</formula>
    </cfRule>
  </conditionalFormatting>
  <conditionalFormatting sqref="H15:W46">
    <cfRule type="containsText" dxfId="159" priority="1" operator="containsText" text="12">
      <formula>NOT(ISERROR(SEARCH("12",H15)))</formula>
    </cfRule>
    <cfRule type="expression" dxfId="158" priority="2">
      <formula>H$14="LH"</formula>
    </cfRule>
    <cfRule type="expression" dxfId="157" priority="3" stopIfTrue="1">
      <formula>H$14="SH"</formula>
    </cfRule>
    <cfRule type="expression" dxfId="156" priority="16">
      <formula>EXACT(H15, "S")</formula>
    </cfRule>
    <cfRule type="expression" dxfId="155" priority="17">
      <formula>EXACT(H15, "R")</formula>
    </cfRule>
    <cfRule type="expression" dxfId="154" priority="18">
      <formula>EXACT(H15, "T")</formula>
    </cfRule>
    <cfRule type="containsText" dxfId="153" priority="19" operator="containsText" text="SH">
      <formula>NOT(ISERROR(SEARCH("SH",H15)))</formula>
    </cfRule>
    <cfRule type="expression" dxfId="152" priority="20">
      <formula>EXACT(H15, "RS")</formula>
    </cfRule>
    <cfRule type="containsText" dxfId="151" priority="21" operator="containsText" text="RH">
      <formula>NOT(ISERROR(SEARCH("RH",H15)))</formula>
    </cfRule>
    <cfRule type="expression" dxfId="150" priority="22">
      <formula>EXACT(H15, "LR")</formula>
    </cfRule>
    <cfRule type="expression" dxfId="149" priority="23">
      <formula>EXACT(H15, "L")</formula>
    </cfRule>
    <cfRule type="expression" dxfId="148" priority="24">
      <formula>EXACT(H15, "D")</formula>
    </cfRule>
    <cfRule type="expression" dxfId="147" priority="25">
      <formula>EXACT(H15, "A")</formula>
    </cfRule>
  </conditionalFormatting>
  <dataValidations count="1">
    <dataValidation type="list" allowBlank="1" showInputMessage="1" showErrorMessage="1" sqref="H14:W14" xr:uid="{00000000-0002-0000-0200-000000000000}">
      <formula1>"SH, LH"</formula1>
    </dataValidation>
  </dataValidations>
  <pageMargins left="0" right="0" top="0" bottom="0.19685039370078741" header="0" footer="0"/>
  <pageSetup paperSize="9" scale="49" fitToHeight="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Sheet3!$A$2:$A$54</xm:f>
          </x14:formula1>
          <xm:sqref>H15:W46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E62"/>
  <sheetViews>
    <sheetView view="pageBreakPreview" topLeftCell="A11" zoomScale="86" zoomScaleNormal="70" zoomScaleSheetLayoutView="86" workbookViewId="0">
      <selection activeCell="E16" sqref="E16"/>
    </sheetView>
  </sheetViews>
  <sheetFormatPr defaultColWidth="9.125" defaultRowHeight="14.25"/>
  <cols>
    <col min="1" max="1" width="4.125" style="5" customWidth="1"/>
    <col min="2" max="2" width="6.625" style="5" customWidth="1"/>
    <col min="3" max="3" width="25.625" style="5" customWidth="1"/>
    <col min="4" max="4" width="12" style="5" customWidth="1"/>
    <col min="5" max="5" width="18.625" style="5" customWidth="1"/>
    <col min="6" max="6" width="14.125" style="5" customWidth="1"/>
    <col min="7" max="7" width="12" style="5" customWidth="1"/>
    <col min="8" max="23" width="5.75" style="5" customWidth="1"/>
    <col min="24" max="30" width="10.375" style="37" customWidth="1"/>
    <col min="31" max="31" width="10.375" style="5" customWidth="1"/>
    <col min="32" max="16384" width="9.125" style="5"/>
  </cols>
  <sheetData>
    <row r="1" spans="2:31" ht="15" thickBot="1"/>
    <row r="2" spans="2:31" ht="15.75">
      <c r="B2" s="10"/>
      <c r="C2" s="69" t="s">
        <v>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1"/>
    </row>
    <row r="3" spans="2:31" ht="15.75">
      <c r="B3" s="11"/>
      <c r="C3" s="72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4"/>
    </row>
    <row r="4" spans="2:31" ht="15.75">
      <c r="B4" s="11"/>
      <c r="C4" s="75" t="s">
        <v>1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7"/>
    </row>
    <row r="5" spans="2:31" ht="15.75">
      <c r="B5" s="11"/>
      <c r="C5" s="72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4"/>
    </row>
    <row r="6" spans="2:31" ht="16.5" customHeight="1" thickBot="1">
      <c r="B6" s="12"/>
      <c r="C6" s="85" t="s">
        <v>53</v>
      </c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7"/>
    </row>
    <row r="7" spans="2:31" ht="23.25" customHeight="1">
      <c r="C7" s="64" t="s">
        <v>55</v>
      </c>
      <c r="G7" s="34"/>
      <c r="H7" s="34"/>
    </row>
    <row r="8" spans="2:31" ht="15" customHeight="1">
      <c r="B8" s="27"/>
      <c r="C8" s="82" t="s">
        <v>57</v>
      </c>
      <c r="D8" s="83"/>
      <c r="E8" s="83"/>
      <c r="F8" s="84"/>
      <c r="G8" s="13"/>
      <c r="H8" s="13"/>
      <c r="I8" s="35"/>
      <c r="J8" s="13"/>
      <c r="K8" s="13"/>
      <c r="L8" s="13"/>
    </row>
    <row r="9" spans="2:31" ht="15" customHeight="1">
      <c r="C9" s="14" t="s">
        <v>2</v>
      </c>
      <c r="D9" s="89">
        <v>45977</v>
      </c>
      <c r="E9" s="89"/>
      <c r="F9" s="30"/>
      <c r="G9" s="33"/>
      <c r="H9" s="15"/>
      <c r="I9" s="15"/>
      <c r="J9" s="15"/>
      <c r="K9" s="15"/>
    </row>
    <row r="10" spans="2:31" ht="15" customHeight="1">
      <c r="B10" s="28"/>
      <c r="C10" s="14" t="s">
        <v>3</v>
      </c>
      <c r="D10" s="88">
        <v>45991</v>
      </c>
      <c r="E10" s="88"/>
      <c r="F10" s="31"/>
      <c r="G10" s="32"/>
      <c r="H10" s="15"/>
      <c r="I10" s="15"/>
      <c r="J10" s="15"/>
      <c r="K10" s="15"/>
    </row>
    <row r="11" spans="2:31" ht="15" thickBot="1"/>
    <row r="12" spans="2:31" ht="21.75" customHeight="1">
      <c r="B12" s="90" t="s">
        <v>4</v>
      </c>
      <c r="C12" s="90" t="s">
        <v>5</v>
      </c>
      <c r="D12" s="90" t="s">
        <v>45</v>
      </c>
      <c r="E12" s="90" t="s">
        <v>44</v>
      </c>
      <c r="F12" s="90" t="s">
        <v>38</v>
      </c>
      <c r="G12" s="93" t="s">
        <v>39</v>
      </c>
      <c r="H12" s="52" t="str">
        <f>IF(COLUMN()-COLUMN($H$12)&lt;=$D$10-$D9+1, TEXT($D$9+COLUMN()-COLUMN($H$12),"ddd"), "")</f>
        <v>Sun</v>
      </c>
      <c r="I12" s="53" t="str">
        <f t="shared" ref="I12:V12" si="0">IF(COLUMN()-COLUMN($H$12)&lt;=$D$10-$D9+1, TEXT($D$9+COLUMN()-COLUMN($H$12),"ddd"), "")</f>
        <v>Mon</v>
      </c>
      <c r="J12" s="53" t="str">
        <f t="shared" si="0"/>
        <v>Tue</v>
      </c>
      <c r="K12" s="53" t="str">
        <f t="shared" si="0"/>
        <v>Wed</v>
      </c>
      <c r="L12" s="53" t="str">
        <f t="shared" si="0"/>
        <v>Thu</v>
      </c>
      <c r="M12" s="53" t="str">
        <f t="shared" si="0"/>
        <v>Fri</v>
      </c>
      <c r="N12" s="53" t="str">
        <f t="shared" si="0"/>
        <v>Sat</v>
      </c>
      <c r="O12" s="53" t="str">
        <f t="shared" si="0"/>
        <v>Sun</v>
      </c>
      <c r="P12" s="53" t="str">
        <f t="shared" si="0"/>
        <v>Mon</v>
      </c>
      <c r="Q12" s="53" t="str">
        <f t="shared" si="0"/>
        <v>Tue</v>
      </c>
      <c r="R12" s="53" t="str">
        <f t="shared" si="0"/>
        <v>Wed</v>
      </c>
      <c r="S12" s="53" t="str">
        <f t="shared" si="0"/>
        <v>Thu</v>
      </c>
      <c r="T12" s="53" t="str">
        <f t="shared" si="0"/>
        <v>Fri</v>
      </c>
      <c r="U12" s="53" t="str">
        <f t="shared" si="0"/>
        <v>Sat</v>
      </c>
      <c r="V12" s="53" t="str">
        <f t="shared" si="0"/>
        <v>Sun</v>
      </c>
      <c r="W12" s="54" t="s">
        <v>94</v>
      </c>
      <c r="X12" s="48" t="s">
        <v>6</v>
      </c>
      <c r="Y12" s="49" t="s">
        <v>6</v>
      </c>
      <c r="Z12" s="49" t="s">
        <v>8</v>
      </c>
      <c r="AA12" s="49" t="s">
        <v>10</v>
      </c>
      <c r="AB12" s="49" t="s">
        <v>11</v>
      </c>
      <c r="AC12" s="49" t="s">
        <v>36</v>
      </c>
      <c r="AD12" s="49" t="s">
        <v>12</v>
      </c>
      <c r="AE12" s="90" t="s">
        <v>37</v>
      </c>
    </row>
    <row r="13" spans="2:31" ht="13.5" customHeight="1">
      <c r="B13" s="91"/>
      <c r="C13" s="91"/>
      <c r="D13" s="91"/>
      <c r="E13" s="91"/>
      <c r="F13" s="91"/>
      <c r="G13" s="94"/>
      <c r="H13" s="55">
        <f t="shared" ref="H13:V13" si="1">IF(COLUMN()-COLUMN($H$13)&lt;=$D$10-$D$9+1, DAY($D$9+COLUMN()-COLUMN($H$13)), "")</f>
        <v>16</v>
      </c>
      <c r="I13" s="44">
        <f t="shared" si="1"/>
        <v>17</v>
      </c>
      <c r="J13" s="44">
        <f t="shared" si="1"/>
        <v>18</v>
      </c>
      <c r="K13" s="44">
        <f t="shared" si="1"/>
        <v>19</v>
      </c>
      <c r="L13" s="44">
        <f t="shared" si="1"/>
        <v>20</v>
      </c>
      <c r="M13" s="44">
        <f t="shared" si="1"/>
        <v>21</v>
      </c>
      <c r="N13" s="44">
        <f t="shared" si="1"/>
        <v>22</v>
      </c>
      <c r="O13" s="44">
        <f t="shared" si="1"/>
        <v>23</v>
      </c>
      <c r="P13" s="44">
        <f t="shared" si="1"/>
        <v>24</v>
      </c>
      <c r="Q13" s="44">
        <f t="shared" si="1"/>
        <v>25</v>
      </c>
      <c r="R13" s="44">
        <f t="shared" si="1"/>
        <v>26</v>
      </c>
      <c r="S13" s="44">
        <f t="shared" si="1"/>
        <v>27</v>
      </c>
      <c r="T13" s="44">
        <f t="shared" si="1"/>
        <v>28</v>
      </c>
      <c r="U13" s="44">
        <f t="shared" si="1"/>
        <v>29</v>
      </c>
      <c r="V13" s="44">
        <f t="shared" si="1"/>
        <v>30</v>
      </c>
      <c r="W13" s="56">
        <v>31</v>
      </c>
      <c r="X13" s="96" t="s">
        <v>15</v>
      </c>
      <c r="Y13" s="90" t="s">
        <v>7</v>
      </c>
      <c r="Z13" s="90" t="s">
        <v>9</v>
      </c>
      <c r="AA13" s="90" t="s">
        <v>14</v>
      </c>
      <c r="AB13" s="90" t="s">
        <v>13</v>
      </c>
      <c r="AC13" s="90" t="s">
        <v>35</v>
      </c>
      <c r="AD13" s="90" t="s">
        <v>13</v>
      </c>
      <c r="AE13" s="91"/>
    </row>
    <row r="14" spans="2:31" ht="11.25" customHeight="1">
      <c r="B14" s="92"/>
      <c r="C14" s="92"/>
      <c r="D14" s="92"/>
      <c r="E14" s="92"/>
      <c r="F14" s="92"/>
      <c r="G14" s="95"/>
      <c r="H14" s="57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58" t="s">
        <v>104</v>
      </c>
      <c r="X14" s="97"/>
      <c r="Y14" s="92"/>
      <c r="Z14" s="92"/>
      <c r="AA14" s="92"/>
      <c r="AB14" s="92"/>
      <c r="AC14" s="92"/>
      <c r="AD14" s="92"/>
      <c r="AE14" s="92"/>
    </row>
    <row r="15" spans="2:31" ht="24.95" customHeight="1">
      <c r="B15" s="16">
        <f>ROW()-14</f>
        <v>1</v>
      </c>
      <c r="C15" s="18" t="s">
        <v>93</v>
      </c>
      <c r="D15" s="18" t="s">
        <v>73</v>
      </c>
      <c r="E15" s="18" t="s">
        <v>50</v>
      </c>
      <c r="F15" s="18" t="s">
        <v>51</v>
      </c>
      <c r="G15" s="17" t="s">
        <v>56</v>
      </c>
      <c r="H15" s="59">
        <v>12</v>
      </c>
      <c r="I15" s="59">
        <v>12</v>
      </c>
      <c r="J15" s="59">
        <v>12</v>
      </c>
      <c r="K15" s="59">
        <v>12</v>
      </c>
      <c r="L15" s="59">
        <v>12</v>
      </c>
      <c r="M15" s="59">
        <v>12</v>
      </c>
      <c r="N15" s="19" t="s">
        <v>40</v>
      </c>
      <c r="O15" s="19">
        <v>12</v>
      </c>
      <c r="P15" s="19">
        <v>12</v>
      </c>
      <c r="Q15" s="19">
        <v>12</v>
      </c>
      <c r="R15" s="19">
        <v>12</v>
      </c>
      <c r="S15" s="19">
        <v>12</v>
      </c>
      <c r="T15" s="19">
        <v>12</v>
      </c>
      <c r="U15" s="19" t="s">
        <v>40</v>
      </c>
      <c r="V15" s="19">
        <v>12</v>
      </c>
      <c r="W15" s="19">
        <v>12</v>
      </c>
      <c r="X15" s="50" cm="1">
        <f t="array" ref="X15">SUMPRODUCT(--ISNUMBER(H15:W15), --($H$14:$W$14&lt;&gt;"LH"), --($H$14:$W$14&lt;&gt;"SH"))</f>
        <v>13</v>
      </c>
      <c r="Y15" s="19">
        <f>X15*8</f>
        <v>104</v>
      </c>
      <c r="Z15" s="19"/>
      <c r="AA15" s="19">
        <f>SUM(H15:W15)-AB15-AD15-Y15</f>
        <v>64</v>
      </c>
      <c r="AB15" s="19">
        <v>0</v>
      </c>
      <c r="AC15" s="19"/>
      <c r="AD15" s="19">
        <f>SUMIF($H$14:$W$14,"SH",$H15:$W15)</f>
        <v>0</v>
      </c>
      <c r="AE15" s="51"/>
    </row>
    <row r="16" spans="2:31" ht="24.95" customHeight="1">
      <c r="B16" s="16">
        <f t="shared" ref="B16:B46" si="2">ROW()-14</f>
        <v>2</v>
      </c>
      <c r="C16" s="18" t="s">
        <v>65</v>
      </c>
      <c r="D16" s="18" t="s">
        <v>74</v>
      </c>
      <c r="E16" s="18" t="s">
        <v>50</v>
      </c>
      <c r="F16" s="18" t="s">
        <v>51</v>
      </c>
      <c r="G16" s="17" t="s">
        <v>56</v>
      </c>
      <c r="H16" s="59">
        <v>12</v>
      </c>
      <c r="I16" s="19">
        <v>12</v>
      </c>
      <c r="J16" s="19">
        <v>12</v>
      </c>
      <c r="K16" s="19" t="s">
        <v>40</v>
      </c>
      <c r="L16" s="59">
        <v>12</v>
      </c>
      <c r="M16" s="19">
        <v>12</v>
      </c>
      <c r="N16" s="19">
        <v>12</v>
      </c>
      <c r="O16" s="19">
        <v>12</v>
      </c>
      <c r="P16" s="19">
        <v>12</v>
      </c>
      <c r="Q16" s="19">
        <v>12</v>
      </c>
      <c r="R16" s="19" t="s">
        <v>40</v>
      </c>
      <c r="S16" s="19">
        <v>12</v>
      </c>
      <c r="T16" s="19">
        <v>12</v>
      </c>
      <c r="U16" s="19">
        <v>12</v>
      </c>
      <c r="V16" s="19">
        <v>12</v>
      </c>
      <c r="W16" s="19">
        <v>12</v>
      </c>
      <c r="X16" s="50" cm="1">
        <f t="array" ref="X16">SUMPRODUCT(--ISNUMBER(H16:W16), --($H$14:$W$14&lt;&gt;"LH"), --($H$14:$W$14&lt;&gt;"SH"))</f>
        <v>13</v>
      </c>
      <c r="Y16" s="19">
        <f t="shared" ref="Y16:Y46" si="3">X16*8</f>
        <v>104</v>
      </c>
      <c r="Z16" s="19"/>
      <c r="AA16" s="19">
        <f t="shared" ref="AA16:AA46" si="4">SUM(H16:W16)-AB16-AD16-Y16</f>
        <v>64</v>
      </c>
      <c r="AB16" s="19">
        <v>0</v>
      </c>
      <c r="AC16" s="19"/>
      <c r="AD16" s="19">
        <f t="shared" ref="AD16:AD46" si="5">SUMIF($H$14:$W$14,"SH",$H16:$W16)</f>
        <v>0</v>
      </c>
      <c r="AE16" s="51"/>
    </row>
    <row r="17" spans="2:31" ht="24.95" customHeight="1">
      <c r="B17" s="16">
        <f t="shared" si="2"/>
        <v>3</v>
      </c>
      <c r="C17" s="18" t="s">
        <v>68</v>
      </c>
      <c r="D17" s="18">
        <v>4530</v>
      </c>
      <c r="E17" s="18" t="s">
        <v>52</v>
      </c>
      <c r="F17" s="18" t="s">
        <v>51</v>
      </c>
      <c r="G17" s="17" t="s">
        <v>56</v>
      </c>
      <c r="H17" s="59">
        <v>12</v>
      </c>
      <c r="I17" s="19">
        <v>12</v>
      </c>
      <c r="J17" s="19">
        <v>12</v>
      </c>
      <c r="K17" s="19">
        <v>12</v>
      </c>
      <c r="L17" s="59">
        <v>12</v>
      </c>
      <c r="M17" s="19">
        <v>12</v>
      </c>
      <c r="N17" s="19" t="s">
        <v>40</v>
      </c>
      <c r="O17" s="19">
        <v>12</v>
      </c>
      <c r="P17" s="19">
        <v>12</v>
      </c>
      <c r="Q17" s="19">
        <v>12</v>
      </c>
      <c r="R17" s="19">
        <v>12</v>
      </c>
      <c r="S17" s="19">
        <v>12</v>
      </c>
      <c r="T17" s="19">
        <v>12</v>
      </c>
      <c r="U17" s="19" t="s">
        <v>40</v>
      </c>
      <c r="V17" s="19">
        <v>12</v>
      </c>
      <c r="W17" s="19">
        <v>12</v>
      </c>
      <c r="X17" s="50" cm="1">
        <f t="array" ref="X17">SUMPRODUCT(--ISNUMBER(H17:W17), --($H$14:$W$14&lt;&gt;"LH"), --($H$14:$W$14&lt;&gt;"SH"))</f>
        <v>13</v>
      </c>
      <c r="Y17" s="19">
        <f t="shared" si="3"/>
        <v>104</v>
      </c>
      <c r="Z17" s="19"/>
      <c r="AA17" s="19">
        <f t="shared" si="4"/>
        <v>64</v>
      </c>
      <c r="AB17" s="19">
        <v>0</v>
      </c>
      <c r="AC17" s="19"/>
      <c r="AD17" s="19">
        <f t="shared" si="5"/>
        <v>0</v>
      </c>
      <c r="AE17" s="51"/>
    </row>
    <row r="18" spans="2:31" ht="24.95" customHeight="1">
      <c r="B18" s="16">
        <f t="shared" si="2"/>
        <v>4</v>
      </c>
      <c r="C18" s="18" t="s">
        <v>62</v>
      </c>
      <c r="D18" s="18">
        <v>4114</v>
      </c>
      <c r="E18" s="18" t="s">
        <v>52</v>
      </c>
      <c r="F18" s="18" t="s">
        <v>51</v>
      </c>
      <c r="G18" s="17" t="s">
        <v>56</v>
      </c>
      <c r="H18" s="59">
        <v>12</v>
      </c>
      <c r="I18" s="19" t="s">
        <v>40</v>
      </c>
      <c r="J18" s="19">
        <v>12</v>
      </c>
      <c r="K18" s="19">
        <v>12</v>
      </c>
      <c r="L18" s="59">
        <v>12</v>
      </c>
      <c r="M18" s="19">
        <v>12</v>
      </c>
      <c r="N18" s="19">
        <v>12</v>
      </c>
      <c r="O18" s="19">
        <v>12</v>
      </c>
      <c r="P18" s="19" t="s">
        <v>40</v>
      </c>
      <c r="Q18" s="19">
        <v>12</v>
      </c>
      <c r="R18" s="19">
        <v>12</v>
      </c>
      <c r="S18" s="19">
        <v>12</v>
      </c>
      <c r="T18" s="19">
        <v>12</v>
      </c>
      <c r="U18" s="19">
        <v>12</v>
      </c>
      <c r="V18" s="19">
        <v>12</v>
      </c>
      <c r="W18" s="60" t="s">
        <v>40</v>
      </c>
      <c r="X18" s="50" cm="1">
        <f t="array" ref="X18">SUMPRODUCT(--ISNUMBER(H18:W18), --($H$14:$W$14&lt;&gt;"LH"), --($H$14:$W$14&lt;&gt;"SH"))</f>
        <v>13</v>
      </c>
      <c r="Y18" s="19">
        <f t="shared" si="3"/>
        <v>104</v>
      </c>
      <c r="Z18" s="19"/>
      <c r="AA18" s="19">
        <f t="shared" si="4"/>
        <v>52</v>
      </c>
      <c r="AB18" s="19">
        <v>0</v>
      </c>
      <c r="AC18" s="19"/>
      <c r="AD18" s="19">
        <f t="shared" si="5"/>
        <v>0</v>
      </c>
      <c r="AE18" s="51"/>
    </row>
    <row r="19" spans="2:31" ht="24.95" customHeight="1">
      <c r="B19" s="16">
        <f t="shared" si="2"/>
        <v>5</v>
      </c>
      <c r="C19" s="18" t="s">
        <v>61</v>
      </c>
      <c r="D19" s="18">
        <v>4588</v>
      </c>
      <c r="E19" s="18" t="s">
        <v>52</v>
      </c>
      <c r="F19" s="18" t="s">
        <v>51</v>
      </c>
      <c r="G19" s="17" t="s">
        <v>56</v>
      </c>
      <c r="H19" s="59">
        <v>12</v>
      </c>
      <c r="I19" s="19">
        <v>12</v>
      </c>
      <c r="J19" s="19" t="s">
        <v>40</v>
      </c>
      <c r="K19" s="19">
        <v>12</v>
      </c>
      <c r="L19" s="59">
        <v>12</v>
      </c>
      <c r="M19" s="19">
        <v>12</v>
      </c>
      <c r="N19" s="19">
        <v>12</v>
      </c>
      <c r="O19" s="19">
        <v>12</v>
      </c>
      <c r="P19" s="19">
        <v>12</v>
      </c>
      <c r="Q19" s="19" t="s">
        <v>40</v>
      </c>
      <c r="R19" s="19">
        <v>12</v>
      </c>
      <c r="S19" s="19">
        <v>12</v>
      </c>
      <c r="T19" s="19">
        <v>12</v>
      </c>
      <c r="U19" s="19">
        <v>12</v>
      </c>
      <c r="V19" s="19">
        <v>12</v>
      </c>
      <c r="W19" s="60">
        <v>12</v>
      </c>
      <c r="X19" s="50" cm="1">
        <f t="array" ref="X19">SUMPRODUCT(--ISNUMBER(H19:W19), --($H$14:$W$14&lt;&gt;"LH"), --($H$14:$W$14&lt;&gt;"SH"))</f>
        <v>13</v>
      </c>
      <c r="Y19" s="19">
        <f t="shared" si="3"/>
        <v>104</v>
      </c>
      <c r="Z19" s="19"/>
      <c r="AA19" s="19">
        <f t="shared" si="4"/>
        <v>52</v>
      </c>
      <c r="AB19" s="19">
        <f t="shared" ref="AB19:AB46" si="6">SUMIF($H$14:$W$14,"LH",$H19:$W19)</f>
        <v>12</v>
      </c>
      <c r="AC19" s="19"/>
      <c r="AD19" s="19">
        <f t="shared" si="5"/>
        <v>0</v>
      </c>
      <c r="AE19" s="51"/>
    </row>
    <row r="20" spans="2:31" ht="24.95" customHeight="1">
      <c r="B20" s="16">
        <f t="shared" si="2"/>
        <v>6</v>
      </c>
      <c r="C20" s="18" t="s">
        <v>72</v>
      </c>
      <c r="D20" s="18">
        <v>4578</v>
      </c>
      <c r="E20" s="18" t="s">
        <v>52</v>
      </c>
      <c r="F20" s="18" t="s">
        <v>51</v>
      </c>
      <c r="G20" s="17" t="s">
        <v>56</v>
      </c>
      <c r="H20" s="59">
        <v>12</v>
      </c>
      <c r="I20" s="19">
        <v>12</v>
      </c>
      <c r="J20" s="19">
        <v>12</v>
      </c>
      <c r="K20" s="19" t="s">
        <v>40</v>
      </c>
      <c r="L20" s="59">
        <v>12</v>
      </c>
      <c r="M20" s="19">
        <v>12</v>
      </c>
      <c r="N20" s="19">
        <v>12</v>
      </c>
      <c r="O20" s="19">
        <v>12</v>
      </c>
      <c r="P20" s="19">
        <v>12</v>
      </c>
      <c r="Q20" s="19">
        <v>12</v>
      </c>
      <c r="R20" s="19" t="s">
        <v>40</v>
      </c>
      <c r="S20" s="19">
        <v>12</v>
      </c>
      <c r="T20" s="19">
        <v>12</v>
      </c>
      <c r="U20" s="19">
        <v>12</v>
      </c>
      <c r="V20" s="19">
        <v>12</v>
      </c>
      <c r="W20" s="60">
        <v>12</v>
      </c>
      <c r="X20" s="50" cm="1">
        <f t="array" ref="X20">SUMPRODUCT(--ISNUMBER(H20:W20), --($H$14:$W$14&lt;&gt;"LH"), --($H$14:$W$14&lt;&gt;"SH"))</f>
        <v>13</v>
      </c>
      <c r="Y20" s="19">
        <f t="shared" si="3"/>
        <v>104</v>
      </c>
      <c r="Z20" s="19"/>
      <c r="AA20" s="19">
        <f t="shared" si="4"/>
        <v>52</v>
      </c>
      <c r="AB20" s="19">
        <f t="shared" si="6"/>
        <v>12</v>
      </c>
      <c r="AC20" s="19"/>
      <c r="AD20" s="19">
        <f t="shared" si="5"/>
        <v>0</v>
      </c>
      <c r="AE20" s="51"/>
    </row>
    <row r="21" spans="2:31" ht="24.95" customHeight="1">
      <c r="B21" s="16">
        <f t="shared" si="2"/>
        <v>7</v>
      </c>
      <c r="C21" s="18" t="s">
        <v>59</v>
      </c>
      <c r="D21" s="18">
        <v>4566</v>
      </c>
      <c r="E21" s="18" t="s">
        <v>52</v>
      </c>
      <c r="F21" s="18" t="s">
        <v>51</v>
      </c>
      <c r="G21" s="17" t="s">
        <v>56</v>
      </c>
      <c r="H21" s="59">
        <v>12</v>
      </c>
      <c r="I21" s="19">
        <v>12</v>
      </c>
      <c r="J21" s="19">
        <v>12</v>
      </c>
      <c r="K21" s="19">
        <v>12</v>
      </c>
      <c r="L21" s="19" t="s">
        <v>40</v>
      </c>
      <c r="M21" s="19">
        <v>12</v>
      </c>
      <c r="N21" s="19">
        <v>12</v>
      </c>
      <c r="O21" s="19">
        <v>12</v>
      </c>
      <c r="P21" s="19">
        <v>12</v>
      </c>
      <c r="Q21" s="19">
        <v>12</v>
      </c>
      <c r="R21" s="19">
        <v>12</v>
      </c>
      <c r="S21" s="19" t="s">
        <v>40</v>
      </c>
      <c r="T21" s="19">
        <v>12</v>
      </c>
      <c r="U21" s="19">
        <v>12</v>
      </c>
      <c r="V21" s="19">
        <v>12</v>
      </c>
      <c r="W21" s="60">
        <v>12</v>
      </c>
      <c r="X21" s="50" cm="1">
        <f t="array" ref="X21">SUMPRODUCT(--ISNUMBER(H21:W21), --($H$14:$W$14&lt;&gt;"LH"), --($H$14:$W$14&lt;&gt;"SH"))</f>
        <v>13</v>
      </c>
      <c r="Y21" s="19">
        <f t="shared" si="3"/>
        <v>104</v>
      </c>
      <c r="Z21" s="19"/>
      <c r="AA21" s="19">
        <f t="shared" si="4"/>
        <v>52</v>
      </c>
      <c r="AB21" s="19">
        <f t="shared" si="6"/>
        <v>12</v>
      </c>
      <c r="AC21" s="19"/>
      <c r="AD21" s="19">
        <f t="shared" si="5"/>
        <v>0</v>
      </c>
      <c r="AE21" s="51"/>
    </row>
    <row r="22" spans="2:31" ht="24.95" customHeight="1">
      <c r="B22" s="16">
        <f t="shared" si="2"/>
        <v>8</v>
      </c>
      <c r="C22" s="18" t="s">
        <v>71</v>
      </c>
      <c r="D22" s="18">
        <v>1569</v>
      </c>
      <c r="E22" s="18" t="s">
        <v>70</v>
      </c>
      <c r="F22" s="18" t="s">
        <v>51</v>
      </c>
      <c r="G22" s="17" t="s">
        <v>56</v>
      </c>
      <c r="H22" s="59" t="s">
        <v>40</v>
      </c>
      <c r="I22" s="59">
        <v>12</v>
      </c>
      <c r="J22" s="19">
        <v>12</v>
      </c>
      <c r="K22" s="59">
        <v>12</v>
      </c>
      <c r="L22" s="59">
        <v>12</v>
      </c>
      <c r="M22" s="59" t="s">
        <v>40</v>
      </c>
      <c r="N22" s="19">
        <v>12</v>
      </c>
      <c r="O22" s="59" t="s">
        <v>40</v>
      </c>
      <c r="P22" s="19">
        <v>12</v>
      </c>
      <c r="Q22" s="19">
        <v>12</v>
      </c>
      <c r="R22" s="19">
        <v>12</v>
      </c>
      <c r="S22" s="19">
        <v>12</v>
      </c>
      <c r="T22" s="19" t="s">
        <v>40</v>
      </c>
      <c r="U22" s="19">
        <v>12</v>
      </c>
      <c r="V22" s="19" t="s">
        <v>40</v>
      </c>
      <c r="W22" s="60">
        <v>12</v>
      </c>
      <c r="X22" s="50" cm="1">
        <f t="array" ref="X22">SUMPRODUCT(--ISNUMBER(H22:W22), --($H$14:$W$14&lt;&gt;"LH"), --($H$14:$W$14&lt;&gt;"SH"))</f>
        <v>10</v>
      </c>
      <c r="Y22" s="19">
        <f t="shared" si="3"/>
        <v>80</v>
      </c>
      <c r="Z22" s="19"/>
      <c r="AA22" s="19">
        <f t="shared" si="4"/>
        <v>40</v>
      </c>
      <c r="AB22" s="19">
        <f t="shared" si="6"/>
        <v>12</v>
      </c>
      <c r="AC22" s="19"/>
      <c r="AD22" s="19">
        <f t="shared" si="5"/>
        <v>0</v>
      </c>
      <c r="AE22" s="65"/>
    </row>
    <row r="23" spans="2:31" ht="24.95" customHeight="1">
      <c r="B23" s="16">
        <f t="shared" si="2"/>
        <v>9</v>
      </c>
      <c r="C23" s="5" t="s">
        <v>106</v>
      </c>
      <c r="D23" s="18">
        <v>4515</v>
      </c>
      <c r="E23" s="18" t="s">
        <v>52</v>
      </c>
      <c r="F23" s="18" t="s">
        <v>60</v>
      </c>
      <c r="G23" s="17" t="s">
        <v>89</v>
      </c>
      <c r="H23" s="59" t="s">
        <v>40</v>
      </c>
      <c r="I23" s="59">
        <v>12</v>
      </c>
      <c r="J23" s="19">
        <v>12</v>
      </c>
      <c r="K23" s="59">
        <v>12</v>
      </c>
      <c r="L23" s="59">
        <v>12</v>
      </c>
      <c r="M23" s="59">
        <v>12</v>
      </c>
      <c r="N23" s="19">
        <v>12</v>
      </c>
      <c r="O23" s="59" t="s">
        <v>40</v>
      </c>
      <c r="P23" s="19">
        <v>12</v>
      </c>
      <c r="Q23" s="19">
        <v>12</v>
      </c>
      <c r="R23" s="19">
        <v>12</v>
      </c>
      <c r="S23" s="19">
        <v>12</v>
      </c>
      <c r="T23" s="19">
        <v>12</v>
      </c>
      <c r="U23" s="19">
        <v>12</v>
      </c>
      <c r="V23" s="19" t="s">
        <v>40</v>
      </c>
      <c r="W23" s="60">
        <v>12</v>
      </c>
      <c r="X23" s="50" cm="1">
        <f t="array" ref="X23">SUMPRODUCT(--ISNUMBER(H23:W23), --($H$14:$W$14&lt;&gt;"LH"), --($H$14:$W$14&lt;&gt;"SH"))</f>
        <v>12</v>
      </c>
      <c r="Y23" s="19">
        <f t="shared" si="3"/>
        <v>96</v>
      </c>
      <c r="Z23" s="19"/>
      <c r="AA23" s="19">
        <f>SUM(H23:W23)-AB23-AD23-Y23</f>
        <v>48</v>
      </c>
      <c r="AB23" s="19">
        <f>SUMIF($H$14:$W$14,"LH",$H23:$W23)</f>
        <v>12</v>
      </c>
      <c r="AC23" s="19"/>
      <c r="AD23" s="19">
        <f>SUMIF($H$14:$W$14,"SH",$H23:$W23)</f>
        <v>0</v>
      </c>
      <c r="AE23" s="65">
        <v>96</v>
      </c>
    </row>
    <row r="24" spans="2:31" ht="24.95" customHeight="1">
      <c r="B24" s="16">
        <f t="shared" si="2"/>
        <v>10</v>
      </c>
      <c r="C24" s="18" t="s">
        <v>69</v>
      </c>
      <c r="D24" s="18">
        <v>4440</v>
      </c>
      <c r="E24" s="18" t="s">
        <v>52</v>
      </c>
      <c r="F24" s="18" t="s">
        <v>60</v>
      </c>
      <c r="G24" s="17" t="s">
        <v>89</v>
      </c>
      <c r="H24" s="59">
        <v>12</v>
      </c>
      <c r="I24" s="19" t="s">
        <v>40</v>
      </c>
      <c r="J24" s="19">
        <v>12</v>
      </c>
      <c r="K24" s="19">
        <v>12</v>
      </c>
      <c r="L24" s="59">
        <v>12</v>
      </c>
      <c r="M24" s="19">
        <v>12</v>
      </c>
      <c r="N24" s="19">
        <v>12</v>
      </c>
      <c r="O24" s="19">
        <v>12</v>
      </c>
      <c r="P24" s="19" t="s">
        <v>40</v>
      </c>
      <c r="Q24" s="19">
        <v>12</v>
      </c>
      <c r="R24" s="19">
        <v>12</v>
      </c>
      <c r="S24" s="19">
        <v>12</v>
      </c>
      <c r="T24" s="19">
        <v>12</v>
      </c>
      <c r="U24" s="19">
        <v>12</v>
      </c>
      <c r="V24" s="19">
        <v>12</v>
      </c>
      <c r="W24" s="60" t="s">
        <v>40</v>
      </c>
      <c r="X24" s="50" cm="1">
        <f t="array" ref="X24">SUMPRODUCT(--ISNUMBER(H24:W24), --($H$14:$W$14&lt;&gt;"LH"), --($H$14:$W$14&lt;&gt;"SH"))</f>
        <v>13</v>
      </c>
      <c r="Y24" s="19">
        <f t="shared" si="3"/>
        <v>104</v>
      </c>
      <c r="Z24" s="19"/>
      <c r="AA24" s="19">
        <f t="shared" si="4"/>
        <v>52</v>
      </c>
      <c r="AB24" s="19">
        <f t="shared" si="6"/>
        <v>0</v>
      </c>
      <c r="AC24" s="19"/>
      <c r="AD24" s="19">
        <f t="shared" si="5"/>
        <v>0</v>
      </c>
      <c r="AE24" s="65">
        <v>104</v>
      </c>
    </row>
    <row r="25" spans="2:31" ht="24.95" customHeight="1">
      <c r="B25" s="16">
        <f t="shared" si="2"/>
        <v>11</v>
      </c>
      <c r="C25" s="18" t="s">
        <v>66</v>
      </c>
      <c r="D25" s="18">
        <v>4488</v>
      </c>
      <c r="E25" s="18" t="s">
        <v>52</v>
      </c>
      <c r="F25" s="18" t="s">
        <v>60</v>
      </c>
      <c r="G25" s="17" t="s">
        <v>89</v>
      </c>
      <c r="H25" s="59">
        <v>12</v>
      </c>
      <c r="I25" s="19">
        <v>12</v>
      </c>
      <c r="J25" s="19" t="s">
        <v>40</v>
      </c>
      <c r="K25" s="19">
        <v>12</v>
      </c>
      <c r="L25" s="59">
        <v>12</v>
      </c>
      <c r="M25" s="19">
        <v>12</v>
      </c>
      <c r="N25" s="19">
        <v>12</v>
      </c>
      <c r="O25" s="19">
        <v>12</v>
      </c>
      <c r="P25" s="19">
        <v>12</v>
      </c>
      <c r="Q25" s="19" t="s">
        <v>40</v>
      </c>
      <c r="R25" s="19">
        <v>12</v>
      </c>
      <c r="S25" s="19">
        <v>12</v>
      </c>
      <c r="T25" s="19">
        <v>12</v>
      </c>
      <c r="U25" s="19">
        <v>12</v>
      </c>
      <c r="V25" s="19">
        <v>12</v>
      </c>
      <c r="W25" s="60">
        <v>12</v>
      </c>
      <c r="X25" s="50" cm="1">
        <f t="array" ref="X25">SUMPRODUCT(--ISNUMBER(H25:W25), --($H$14:$W$14&lt;&gt;"LH"), --($H$14:$W$14&lt;&gt;"SH"))</f>
        <v>13</v>
      </c>
      <c r="Y25" s="19">
        <f t="shared" si="3"/>
        <v>104</v>
      </c>
      <c r="Z25" s="19"/>
      <c r="AA25" s="19">
        <f t="shared" si="4"/>
        <v>52</v>
      </c>
      <c r="AB25" s="19">
        <f t="shared" si="6"/>
        <v>12</v>
      </c>
      <c r="AC25" s="19"/>
      <c r="AD25" s="19">
        <f t="shared" si="5"/>
        <v>0</v>
      </c>
      <c r="AE25" s="65">
        <v>104</v>
      </c>
    </row>
    <row r="26" spans="2:31" ht="24.95" customHeight="1">
      <c r="B26" s="16">
        <f t="shared" si="2"/>
        <v>12</v>
      </c>
      <c r="C26" s="18" t="s">
        <v>58</v>
      </c>
      <c r="D26" s="18">
        <v>4585</v>
      </c>
      <c r="E26" s="18" t="s">
        <v>52</v>
      </c>
      <c r="F26" s="18" t="s">
        <v>60</v>
      </c>
      <c r="G26" s="17" t="s">
        <v>89</v>
      </c>
      <c r="H26" s="59">
        <v>12</v>
      </c>
      <c r="I26" s="19">
        <v>12</v>
      </c>
      <c r="J26" s="19">
        <v>12</v>
      </c>
      <c r="K26" s="19" t="s">
        <v>40</v>
      </c>
      <c r="L26" s="59">
        <v>12</v>
      </c>
      <c r="M26" s="19">
        <v>12</v>
      </c>
      <c r="N26" s="19">
        <v>12</v>
      </c>
      <c r="O26" s="19">
        <v>12</v>
      </c>
      <c r="P26" s="19">
        <v>12</v>
      </c>
      <c r="Q26" s="19">
        <v>12</v>
      </c>
      <c r="R26" s="19" t="s">
        <v>40</v>
      </c>
      <c r="S26" s="19">
        <v>12</v>
      </c>
      <c r="T26" s="19">
        <v>12</v>
      </c>
      <c r="U26" s="19">
        <v>12</v>
      </c>
      <c r="V26" s="19">
        <v>12</v>
      </c>
      <c r="W26" s="60">
        <v>12</v>
      </c>
      <c r="X26" s="50" cm="1">
        <f t="array" ref="X26">SUMPRODUCT(--ISNUMBER(H26:W26), --($H$14:$W$14&lt;&gt;"LH"), --($H$14:$W$14&lt;&gt;"SH"))</f>
        <v>13</v>
      </c>
      <c r="Y26" s="19">
        <f t="shared" si="3"/>
        <v>104</v>
      </c>
      <c r="Z26" s="19"/>
      <c r="AA26" s="19">
        <f t="shared" si="4"/>
        <v>52</v>
      </c>
      <c r="AB26" s="19">
        <f t="shared" si="6"/>
        <v>12</v>
      </c>
      <c r="AC26" s="19"/>
      <c r="AD26" s="19">
        <f t="shared" si="5"/>
        <v>0</v>
      </c>
      <c r="AE26" s="65">
        <v>104</v>
      </c>
    </row>
    <row r="27" spans="2:31" ht="24.95" customHeight="1">
      <c r="B27" s="16">
        <f t="shared" si="2"/>
        <v>13</v>
      </c>
      <c r="C27" s="18" t="s">
        <v>63</v>
      </c>
      <c r="D27" s="18">
        <v>4559</v>
      </c>
      <c r="E27" s="18" t="s">
        <v>52</v>
      </c>
      <c r="F27" s="18" t="s">
        <v>60</v>
      </c>
      <c r="G27" s="17" t="s">
        <v>89</v>
      </c>
      <c r="H27" s="59">
        <v>12</v>
      </c>
      <c r="I27" s="19">
        <v>12</v>
      </c>
      <c r="J27" s="19">
        <v>12</v>
      </c>
      <c r="K27" s="19">
        <v>12</v>
      </c>
      <c r="L27" s="19" t="s">
        <v>40</v>
      </c>
      <c r="M27" s="19">
        <v>12</v>
      </c>
      <c r="N27" s="19">
        <v>12</v>
      </c>
      <c r="O27" s="19">
        <v>12</v>
      </c>
      <c r="P27" s="19">
        <v>12</v>
      </c>
      <c r="Q27" s="19">
        <v>12</v>
      </c>
      <c r="R27" s="19">
        <v>12</v>
      </c>
      <c r="S27" s="19" t="s">
        <v>40</v>
      </c>
      <c r="T27" s="19">
        <v>12</v>
      </c>
      <c r="U27" s="19">
        <v>12</v>
      </c>
      <c r="V27" s="19">
        <v>12</v>
      </c>
      <c r="W27" s="60">
        <v>12</v>
      </c>
      <c r="X27" s="50" cm="1">
        <f t="array" ref="X27">SUMPRODUCT(--ISNUMBER(H27:W27), --($H$14:$W$14&lt;&gt;"LH"), --($H$14:$W$14&lt;&gt;"SH"))</f>
        <v>13</v>
      </c>
      <c r="Y27" s="19">
        <f t="shared" si="3"/>
        <v>104</v>
      </c>
      <c r="Z27" s="19"/>
      <c r="AA27" s="19">
        <f t="shared" si="4"/>
        <v>52</v>
      </c>
      <c r="AB27" s="19">
        <f t="shared" si="6"/>
        <v>12</v>
      </c>
      <c r="AC27" s="19"/>
      <c r="AD27" s="19">
        <f t="shared" si="5"/>
        <v>0</v>
      </c>
      <c r="AE27" s="65">
        <v>104</v>
      </c>
    </row>
    <row r="28" spans="2:31" ht="24.95" customHeight="1">
      <c r="B28" s="16">
        <f t="shared" si="2"/>
        <v>14</v>
      </c>
      <c r="C28" s="18" t="s">
        <v>64</v>
      </c>
      <c r="D28" s="18">
        <v>3869</v>
      </c>
      <c r="E28" s="18" t="s">
        <v>52</v>
      </c>
      <c r="F28" s="18" t="s">
        <v>60</v>
      </c>
      <c r="G28" s="17" t="s">
        <v>89</v>
      </c>
      <c r="H28" s="59">
        <v>12</v>
      </c>
      <c r="I28" s="19">
        <v>12</v>
      </c>
      <c r="J28" s="19">
        <v>12</v>
      </c>
      <c r="K28" s="19">
        <v>12</v>
      </c>
      <c r="L28" s="19">
        <v>12</v>
      </c>
      <c r="M28" s="19" t="s">
        <v>40</v>
      </c>
      <c r="N28" s="19">
        <v>12</v>
      </c>
      <c r="O28" s="19">
        <v>12</v>
      </c>
      <c r="P28" s="19">
        <v>12</v>
      </c>
      <c r="Q28" s="19">
        <v>12</v>
      </c>
      <c r="R28" s="19">
        <v>12</v>
      </c>
      <c r="S28" s="19">
        <v>12</v>
      </c>
      <c r="T28" s="19" t="s">
        <v>40</v>
      </c>
      <c r="U28" s="19">
        <v>12</v>
      </c>
      <c r="V28" s="19">
        <v>12</v>
      </c>
      <c r="W28" s="60">
        <v>12</v>
      </c>
      <c r="X28" s="50" cm="1">
        <f t="array" ref="X28">SUMPRODUCT(--ISNUMBER(H28:W28), --($H$14:$W$14&lt;&gt;"LH"), --($H$14:$W$14&lt;&gt;"SH"))</f>
        <v>13</v>
      </c>
      <c r="Y28" s="19">
        <f t="shared" si="3"/>
        <v>104</v>
      </c>
      <c r="Z28" s="19"/>
      <c r="AA28" s="19">
        <f t="shared" si="4"/>
        <v>52</v>
      </c>
      <c r="AB28" s="19">
        <f t="shared" si="6"/>
        <v>12</v>
      </c>
      <c r="AC28" s="19"/>
      <c r="AD28" s="19">
        <f t="shared" si="5"/>
        <v>0</v>
      </c>
      <c r="AE28" s="65">
        <v>104</v>
      </c>
    </row>
    <row r="29" spans="2:31" ht="24.95" customHeight="1">
      <c r="B29" s="16">
        <f t="shared" si="2"/>
        <v>15</v>
      </c>
      <c r="C29" s="18" t="s">
        <v>92</v>
      </c>
      <c r="D29" s="18">
        <v>4589</v>
      </c>
      <c r="E29" s="18" t="s">
        <v>52</v>
      </c>
      <c r="F29" s="18" t="s">
        <v>60</v>
      </c>
      <c r="G29" s="17" t="s">
        <v>89</v>
      </c>
      <c r="H29" s="59">
        <v>12</v>
      </c>
      <c r="I29" s="19">
        <v>12</v>
      </c>
      <c r="J29" s="19">
        <v>12</v>
      </c>
      <c r="K29" s="19">
        <v>12</v>
      </c>
      <c r="L29" s="19">
        <v>12</v>
      </c>
      <c r="M29" s="19">
        <v>12</v>
      </c>
      <c r="N29" s="19" t="s">
        <v>40</v>
      </c>
      <c r="O29" s="19">
        <v>12</v>
      </c>
      <c r="P29" s="19">
        <v>12</v>
      </c>
      <c r="Q29" s="19">
        <v>12</v>
      </c>
      <c r="R29" s="19">
        <v>12</v>
      </c>
      <c r="S29" s="19">
        <v>12</v>
      </c>
      <c r="T29" s="19">
        <v>12</v>
      </c>
      <c r="U29" s="19" t="s">
        <v>40</v>
      </c>
      <c r="V29" s="19">
        <v>12</v>
      </c>
      <c r="W29" s="60">
        <v>12</v>
      </c>
      <c r="X29" s="50" cm="1">
        <f t="array" ref="X29">SUMPRODUCT(--ISNUMBER(H29:W29), --($H$14:$W$14&lt;&gt;"LH"), --($H$14:$W$14&lt;&gt;"SH"))</f>
        <v>13</v>
      </c>
      <c r="Y29" s="19">
        <f t="shared" si="3"/>
        <v>104</v>
      </c>
      <c r="Z29" s="19"/>
      <c r="AA29" s="19">
        <f t="shared" si="4"/>
        <v>52</v>
      </c>
      <c r="AB29" s="19">
        <f t="shared" si="6"/>
        <v>12</v>
      </c>
      <c r="AC29" s="19"/>
      <c r="AD29" s="19">
        <f t="shared" si="5"/>
        <v>0</v>
      </c>
      <c r="AE29" s="65">
        <v>104</v>
      </c>
    </row>
    <row r="30" spans="2:31" ht="24.95" customHeight="1">
      <c r="B30" s="16">
        <f t="shared" si="2"/>
        <v>16</v>
      </c>
      <c r="C30" s="18" t="s">
        <v>67</v>
      </c>
      <c r="D30" s="18">
        <v>3873</v>
      </c>
      <c r="E30" s="18" t="s">
        <v>70</v>
      </c>
      <c r="F30" s="18" t="s">
        <v>60</v>
      </c>
      <c r="G30" s="17" t="s">
        <v>89</v>
      </c>
      <c r="H30" s="59" t="s">
        <v>40</v>
      </c>
      <c r="I30" s="19">
        <v>12</v>
      </c>
      <c r="J30" s="19">
        <v>12</v>
      </c>
      <c r="K30" s="19">
        <v>12</v>
      </c>
      <c r="L30" s="19">
        <v>12</v>
      </c>
      <c r="M30" s="19">
        <v>12</v>
      </c>
      <c r="N30" s="19">
        <v>12</v>
      </c>
      <c r="O30" s="19" t="s">
        <v>40</v>
      </c>
      <c r="P30" s="19">
        <v>12</v>
      </c>
      <c r="Q30" s="19">
        <v>12</v>
      </c>
      <c r="R30" s="19">
        <v>12</v>
      </c>
      <c r="S30" s="19">
        <v>12</v>
      </c>
      <c r="T30" s="19">
        <v>12</v>
      </c>
      <c r="U30" s="19">
        <v>12</v>
      </c>
      <c r="V30" s="19" t="s">
        <v>40</v>
      </c>
      <c r="W30" s="60">
        <v>12</v>
      </c>
      <c r="X30" s="50" cm="1">
        <f t="array" ref="X30">SUMPRODUCT(--ISNUMBER(H30:W30), --($H$14:$W$14&lt;&gt;"LH"), --($H$14:$W$14&lt;&gt;"SH"))</f>
        <v>12</v>
      </c>
      <c r="Y30" s="19">
        <f t="shared" si="3"/>
        <v>96</v>
      </c>
      <c r="Z30" s="19"/>
      <c r="AA30" s="19">
        <f t="shared" si="4"/>
        <v>48</v>
      </c>
      <c r="AB30" s="19">
        <f t="shared" si="6"/>
        <v>12</v>
      </c>
      <c r="AC30" s="19"/>
      <c r="AD30" s="19">
        <f t="shared" si="5"/>
        <v>0</v>
      </c>
      <c r="AE30" s="65">
        <v>96</v>
      </c>
    </row>
    <row r="31" spans="2:31" ht="24.95" customHeight="1">
      <c r="B31" s="16">
        <f t="shared" si="2"/>
        <v>17</v>
      </c>
      <c r="C31" s="66" t="s">
        <v>90</v>
      </c>
      <c r="D31" s="18"/>
      <c r="E31" s="18"/>
      <c r="F31" s="18"/>
      <c r="G31" s="17"/>
      <c r="H31" s="5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60"/>
      <c r="X31" s="50" cm="1">
        <f t="array" ref="X31">SUMPRODUCT(--ISNUMBER(H31:W31), --($H$14:$W$14&lt;&gt;"LH"), --($H$14:$W$14&lt;&gt;"SH"))</f>
        <v>0</v>
      </c>
      <c r="Y31" s="19">
        <f t="shared" si="3"/>
        <v>0</v>
      </c>
      <c r="Z31" s="19"/>
      <c r="AA31" s="19">
        <f t="shared" si="4"/>
        <v>0</v>
      </c>
      <c r="AB31" s="19">
        <f t="shared" si="6"/>
        <v>0</v>
      </c>
      <c r="AC31" s="19"/>
      <c r="AD31" s="19">
        <f t="shared" si="5"/>
        <v>0</v>
      </c>
      <c r="AE31" s="65"/>
    </row>
    <row r="32" spans="2:31" ht="24.95" customHeight="1">
      <c r="B32" s="16">
        <f t="shared" si="2"/>
        <v>18</v>
      </c>
      <c r="C32" s="18"/>
      <c r="D32" s="18"/>
      <c r="E32" s="18"/>
      <c r="F32" s="18"/>
      <c r="G32" s="17"/>
      <c r="H32" s="5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60"/>
      <c r="X32" s="50" cm="1">
        <f t="array" ref="X32">SUMPRODUCT(--ISNUMBER(H32:W32), --($H$14:$W$14&lt;&gt;"LH"), --($H$14:$W$14&lt;&gt;"SH"))</f>
        <v>0</v>
      </c>
      <c r="Y32" s="19">
        <f t="shared" si="3"/>
        <v>0</v>
      </c>
      <c r="Z32" s="19"/>
      <c r="AA32" s="19">
        <f t="shared" si="4"/>
        <v>0</v>
      </c>
      <c r="AB32" s="19">
        <f t="shared" si="6"/>
        <v>0</v>
      </c>
      <c r="AC32" s="19"/>
      <c r="AD32" s="19">
        <f t="shared" si="5"/>
        <v>0</v>
      </c>
      <c r="AE32" s="65"/>
    </row>
    <row r="33" spans="2:31" ht="24.95" customHeight="1">
      <c r="B33" s="16">
        <f t="shared" si="2"/>
        <v>19</v>
      </c>
      <c r="C33" s="18"/>
      <c r="D33" s="18"/>
      <c r="E33" s="18"/>
      <c r="F33" s="18"/>
      <c r="G33" s="17"/>
      <c r="H33" s="5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60"/>
      <c r="X33" s="50" cm="1">
        <f t="array" ref="X33">SUMPRODUCT(--ISNUMBER(H33:W33), --($H$14:$W$14&lt;&gt;"LH"), --($H$14:$W$14&lt;&gt;"SH"))</f>
        <v>0</v>
      </c>
      <c r="Y33" s="19">
        <f t="shared" si="3"/>
        <v>0</v>
      </c>
      <c r="Z33" s="19"/>
      <c r="AA33" s="19">
        <f t="shared" si="4"/>
        <v>0</v>
      </c>
      <c r="AB33" s="19">
        <f t="shared" si="6"/>
        <v>0</v>
      </c>
      <c r="AC33" s="19"/>
      <c r="AD33" s="19">
        <f t="shared" si="5"/>
        <v>0</v>
      </c>
      <c r="AE33" s="65"/>
    </row>
    <row r="34" spans="2:31" ht="24.95" customHeight="1">
      <c r="B34" s="16">
        <f t="shared" si="2"/>
        <v>20</v>
      </c>
      <c r="C34" s="18"/>
      <c r="D34" s="18"/>
      <c r="E34" s="18"/>
      <c r="F34" s="18"/>
      <c r="G34" s="17"/>
      <c r="H34" s="5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60"/>
      <c r="X34" s="50" cm="1">
        <f t="array" ref="X34">SUMPRODUCT(--ISNUMBER(H34:W34), --($H$14:$W$14&lt;&gt;"LH"), --($H$14:$W$14&lt;&gt;"SH"))</f>
        <v>0</v>
      </c>
      <c r="Y34" s="19">
        <f t="shared" si="3"/>
        <v>0</v>
      </c>
      <c r="Z34" s="19"/>
      <c r="AA34" s="19">
        <f t="shared" si="4"/>
        <v>0</v>
      </c>
      <c r="AB34" s="19">
        <f t="shared" si="6"/>
        <v>0</v>
      </c>
      <c r="AC34" s="19"/>
      <c r="AD34" s="19">
        <f t="shared" si="5"/>
        <v>0</v>
      </c>
      <c r="AE34" s="65"/>
    </row>
    <row r="35" spans="2:31" ht="24.95" customHeight="1">
      <c r="B35" s="16">
        <f t="shared" si="2"/>
        <v>21</v>
      </c>
      <c r="C35" s="18"/>
      <c r="D35" s="18"/>
      <c r="E35" s="18"/>
      <c r="F35" s="18"/>
      <c r="G35" s="17"/>
      <c r="H35" s="5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60"/>
      <c r="X35" s="50" cm="1">
        <f t="array" ref="X35">SUMPRODUCT(--ISNUMBER(H35:W35), --($H$14:$W$14&lt;&gt;"LH"), --($H$14:$W$14&lt;&gt;"SH"))</f>
        <v>0</v>
      </c>
      <c r="Y35" s="19">
        <f t="shared" si="3"/>
        <v>0</v>
      </c>
      <c r="Z35" s="19"/>
      <c r="AA35" s="19">
        <f t="shared" si="4"/>
        <v>0</v>
      </c>
      <c r="AB35" s="19">
        <f t="shared" si="6"/>
        <v>0</v>
      </c>
      <c r="AC35" s="19"/>
      <c r="AD35" s="19">
        <f t="shared" si="5"/>
        <v>0</v>
      </c>
      <c r="AE35" s="65"/>
    </row>
    <row r="36" spans="2:31" ht="24.95" customHeight="1">
      <c r="B36" s="16">
        <f t="shared" si="2"/>
        <v>22</v>
      </c>
      <c r="C36" s="18"/>
      <c r="D36" s="18"/>
      <c r="E36" s="18"/>
      <c r="F36" s="18"/>
      <c r="G36" s="17"/>
      <c r="H36" s="5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60"/>
      <c r="X36" s="50" cm="1">
        <f t="array" ref="X36">SUMPRODUCT(--ISNUMBER(H36:W36), --($H$14:$W$14&lt;&gt;"LH"), --($H$14:$W$14&lt;&gt;"SH"))</f>
        <v>0</v>
      </c>
      <c r="Y36" s="19">
        <f t="shared" si="3"/>
        <v>0</v>
      </c>
      <c r="Z36" s="19"/>
      <c r="AA36" s="19">
        <f t="shared" si="4"/>
        <v>0</v>
      </c>
      <c r="AB36" s="19">
        <f t="shared" si="6"/>
        <v>0</v>
      </c>
      <c r="AC36" s="19"/>
      <c r="AD36" s="19">
        <f t="shared" si="5"/>
        <v>0</v>
      </c>
      <c r="AE36" s="65"/>
    </row>
    <row r="37" spans="2:31" ht="24.95" customHeight="1">
      <c r="B37" s="16">
        <f t="shared" si="2"/>
        <v>23</v>
      </c>
      <c r="C37" s="18"/>
      <c r="D37" s="18"/>
      <c r="E37" s="18"/>
      <c r="F37" s="18"/>
      <c r="G37" s="17"/>
      <c r="H37" s="5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60"/>
      <c r="X37" s="50" cm="1">
        <f t="array" ref="X37">SUMPRODUCT(--ISNUMBER(H37:W37), --($H$14:$W$14&lt;&gt;"LH"), --($H$14:$W$14&lt;&gt;"SH"))</f>
        <v>0</v>
      </c>
      <c r="Y37" s="19">
        <f t="shared" si="3"/>
        <v>0</v>
      </c>
      <c r="Z37" s="19"/>
      <c r="AA37" s="19">
        <f t="shared" si="4"/>
        <v>0</v>
      </c>
      <c r="AB37" s="19">
        <f t="shared" si="6"/>
        <v>0</v>
      </c>
      <c r="AC37" s="19"/>
      <c r="AD37" s="19">
        <f t="shared" si="5"/>
        <v>0</v>
      </c>
      <c r="AE37" s="65"/>
    </row>
    <row r="38" spans="2:31" ht="24.95" customHeight="1">
      <c r="B38" s="16">
        <f t="shared" si="2"/>
        <v>24</v>
      </c>
      <c r="C38" s="18"/>
      <c r="D38" s="18"/>
      <c r="E38" s="18"/>
      <c r="F38" s="18"/>
      <c r="G38" s="17"/>
      <c r="H38" s="5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60"/>
      <c r="X38" s="50" cm="1">
        <f t="array" ref="X38">SUMPRODUCT(--ISNUMBER(H38:W38), --($H$14:$W$14&lt;&gt;"LH"), --($H$14:$W$14&lt;&gt;"SH"))</f>
        <v>0</v>
      </c>
      <c r="Y38" s="19">
        <f t="shared" si="3"/>
        <v>0</v>
      </c>
      <c r="Z38" s="19"/>
      <c r="AA38" s="19">
        <f t="shared" si="4"/>
        <v>0</v>
      </c>
      <c r="AB38" s="19">
        <f t="shared" si="6"/>
        <v>0</v>
      </c>
      <c r="AC38" s="19"/>
      <c r="AD38" s="19">
        <f t="shared" si="5"/>
        <v>0</v>
      </c>
      <c r="AE38" s="65"/>
    </row>
    <row r="39" spans="2:31" ht="24.95" customHeight="1">
      <c r="B39" s="16">
        <f t="shared" si="2"/>
        <v>25</v>
      </c>
      <c r="C39" s="18"/>
      <c r="D39" s="18"/>
      <c r="E39" s="18"/>
      <c r="F39" s="18"/>
      <c r="G39" s="17"/>
      <c r="H39" s="5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60"/>
      <c r="X39" s="50" cm="1">
        <f t="array" ref="X39">SUMPRODUCT(--ISNUMBER(H39:W39), --($H$14:$W$14&lt;&gt;"LH"), --($H$14:$W$14&lt;&gt;"SH"))</f>
        <v>0</v>
      </c>
      <c r="Y39" s="19">
        <f t="shared" si="3"/>
        <v>0</v>
      </c>
      <c r="Z39" s="19"/>
      <c r="AA39" s="19">
        <f t="shared" si="4"/>
        <v>0</v>
      </c>
      <c r="AB39" s="19">
        <f t="shared" si="6"/>
        <v>0</v>
      </c>
      <c r="AC39" s="19"/>
      <c r="AD39" s="19">
        <f t="shared" si="5"/>
        <v>0</v>
      </c>
      <c r="AE39" s="65"/>
    </row>
    <row r="40" spans="2:31" ht="24.95" customHeight="1">
      <c r="B40" s="16">
        <f t="shared" si="2"/>
        <v>26</v>
      </c>
      <c r="C40" s="18"/>
      <c r="D40" s="18"/>
      <c r="E40" s="18"/>
      <c r="F40" s="18"/>
      <c r="G40" s="17"/>
      <c r="H40" s="5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60"/>
      <c r="X40" s="50" cm="1">
        <f t="array" ref="X40">SUMPRODUCT(--ISNUMBER(H40:W40), --($H$14:$W$14&lt;&gt;"LH"), --($H$14:$W$14&lt;&gt;"SH"))</f>
        <v>0</v>
      </c>
      <c r="Y40" s="19">
        <f t="shared" si="3"/>
        <v>0</v>
      </c>
      <c r="Z40" s="19"/>
      <c r="AA40" s="19">
        <f t="shared" si="4"/>
        <v>0</v>
      </c>
      <c r="AB40" s="19">
        <f t="shared" si="6"/>
        <v>0</v>
      </c>
      <c r="AC40" s="19"/>
      <c r="AD40" s="19">
        <f t="shared" si="5"/>
        <v>0</v>
      </c>
      <c r="AE40" s="65"/>
    </row>
    <row r="41" spans="2:31" ht="24.95" customHeight="1">
      <c r="B41" s="16">
        <f t="shared" si="2"/>
        <v>27</v>
      </c>
      <c r="C41" s="18"/>
      <c r="D41" s="18"/>
      <c r="E41" s="18"/>
      <c r="F41" s="18"/>
      <c r="G41" s="17"/>
      <c r="H41" s="5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60"/>
      <c r="X41" s="50" cm="1">
        <f t="array" ref="X41">SUMPRODUCT(--ISNUMBER(H41:W41), --($H$14:$W$14&lt;&gt;"LH"), --($H$14:$W$14&lt;&gt;"SH"))</f>
        <v>0</v>
      </c>
      <c r="Y41" s="19">
        <f t="shared" si="3"/>
        <v>0</v>
      </c>
      <c r="Z41" s="19"/>
      <c r="AA41" s="19">
        <f t="shared" si="4"/>
        <v>0</v>
      </c>
      <c r="AB41" s="19">
        <f t="shared" si="6"/>
        <v>0</v>
      </c>
      <c r="AC41" s="19"/>
      <c r="AD41" s="19">
        <f t="shared" si="5"/>
        <v>0</v>
      </c>
      <c r="AE41" s="65"/>
    </row>
    <row r="42" spans="2:31" ht="24.95" customHeight="1">
      <c r="B42" s="16">
        <f t="shared" si="2"/>
        <v>28</v>
      </c>
      <c r="C42" s="18"/>
      <c r="D42" s="18"/>
      <c r="E42" s="18"/>
      <c r="F42" s="18"/>
      <c r="G42" s="17"/>
      <c r="H42" s="5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60"/>
      <c r="X42" s="50" cm="1">
        <f t="array" ref="X42">SUMPRODUCT(--ISNUMBER(H42:W42), --($H$14:$W$14&lt;&gt;"LH"), --($H$14:$W$14&lt;&gt;"SH"))</f>
        <v>0</v>
      </c>
      <c r="Y42" s="19">
        <f t="shared" si="3"/>
        <v>0</v>
      </c>
      <c r="Z42" s="19"/>
      <c r="AA42" s="19">
        <f t="shared" si="4"/>
        <v>0</v>
      </c>
      <c r="AB42" s="19">
        <f t="shared" si="6"/>
        <v>0</v>
      </c>
      <c r="AC42" s="19"/>
      <c r="AD42" s="19">
        <f t="shared" si="5"/>
        <v>0</v>
      </c>
      <c r="AE42" s="65"/>
    </row>
    <row r="43" spans="2:31" ht="24.95" customHeight="1">
      <c r="B43" s="16">
        <f t="shared" si="2"/>
        <v>29</v>
      </c>
      <c r="C43" s="18"/>
      <c r="D43" s="18"/>
      <c r="E43" s="18"/>
      <c r="F43" s="18"/>
      <c r="G43" s="17"/>
      <c r="H43" s="5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60"/>
      <c r="X43" s="50" cm="1">
        <f t="array" ref="X43">SUMPRODUCT(--ISNUMBER(H43:W43), --($H$14:$W$14&lt;&gt;"LH"), --($H$14:$W$14&lt;&gt;"SH"))</f>
        <v>0</v>
      </c>
      <c r="Y43" s="19">
        <f t="shared" si="3"/>
        <v>0</v>
      </c>
      <c r="Z43" s="19"/>
      <c r="AA43" s="19">
        <f t="shared" si="4"/>
        <v>0</v>
      </c>
      <c r="AB43" s="19">
        <f t="shared" si="6"/>
        <v>0</v>
      </c>
      <c r="AC43" s="19"/>
      <c r="AD43" s="19">
        <f t="shared" si="5"/>
        <v>0</v>
      </c>
      <c r="AE43" s="65"/>
    </row>
    <row r="44" spans="2:31" ht="24.95" customHeight="1">
      <c r="B44" s="16">
        <f t="shared" si="2"/>
        <v>30</v>
      </c>
      <c r="C44" s="18"/>
      <c r="D44" s="18"/>
      <c r="E44" s="18"/>
      <c r="F44" s="18"/>
      <c r="G44" s="17"/>
      <c r="H44" s="5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60"/>
      <c r="X44" s="50" cm="1">
        <f t="array" ref="X44">SUMPRODUCT(--ISNUMBER(H44:W44), --($H$14:$W$14&lt;&gt;"LH"), --($H$14:$W$14&lt;&gt;"SH"))</f>
        <v>0</v>
      </c>
      <c r="Y44" s="19">
        <f t="shared" si="3"/>
        <v>0</v>
      </c>
      <c r="Z44" s="19"/>
      <c r="AA44" s="19">
        <f t="shared" si="4"/>
        <v>0</v>
      </c>
      <c r="AB44" s="19">
        <f t="shared" si="6"/>
        <v>0</v>
      </c>
      <c r="AC44" s="19"/>
      <c r="AD44" s="19">
        <f t="shared" si="5"/>
        <v>0</v>
      </c>
      <c r="AE44" s="65"/>
    </row>
    <row r="45" spans="2:31" ht="24.95" customHeight="1">
      <c r="B45" s="16">
        <f t="shared" si="2"/>
        <v>31</v>
      </c>
      <c r="C45" s="18"/>
      <c r="D45" s="18"/>
      <c r="E45" s="18"/>
      <c r="F45" s="18"/>
      <c r="G45" s="17"/>
      <c r="H45" s="5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60"/>
      <c r="X45" s="50" cm="1">
        <f t="array" ref="X45">SUMPRODUCT(--ISNUMBER(H45:W45), --($H$14:$W$14&lt;&gt;"LH"), --($H$14:$W$14&lt;&gt;"SH"))</f>
        <v>0</v>
      </c>
      <c r="Y45" s="19">
        <f t="shared" si="3"/>
        <v>0</v>
      </c>
      <c r="Z45" s="19"/>
      <c r="AA45" s="19">
        <f t="shared" si="4"/>
        <v>0</v>
      </c>
      <c r="AB45" s="19">
        <f t="shared" si="6"/>
        <v>0</v>
      </c>
      <c r="AC45" s="19"/>
      <c r="AD45" s="19">
        <f t="shared" si="5"/>
        <v>0</v>
      </c>
      <c r="AE45" s="65"/>
    </row>
    <row r="46" spans="2:31" ht="24.95" customHeight="1">
      <c r="B46" s="16">
        <f t="shared" si="2"/>
        <v>32</v>
      </c>
      <c r="C46" s="18"/>
      <c r="D46" s="18"/>
      <c r="E46" s="18"/>
      <c r="F46" s="18"/>
      <c r="G46" s="17"/>
      <c r="H46" s="5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60"/>
      <c r="X46" s="50" cm="1">
        <f t="array" ref="X46">SUMPRODUCT(--ISNUMBER(H46:W46), --($H$14:$W$14&lt;&gt;"LH"), --($H$14:$W$14&lt;&gt;"SH"))</f>
        <v>0</v>
      </c>
      <c r="Y46" s="19">
        <f t="shared" si="3"/>
        <v>0</v>
      </c>
      <c r="Z46" s="19"/>
      <c r="AA46" s="19">
        <f t="shared" si="4"/>
        <v>0</v>
      </c>
      <c r="AB46" s="19">
        <f t="shared" si="6"/>
        <v>0</v>
      </c>
      <c r="AC46" s="19"/>
      <c r="AD46" s="19">
        <f t="shared" si="5"/>
        <v>0</v>
      </c>
      <c r="AE46" s="65"/>
    </row>
    <row r="47" spans="2:31" ht="22.5" customHeight="1" thickBot="1">
      <c r="B47" s="19"/>
      <c r="C47" s="18"/>
      <c r="D47" s="18"/>
      <c r="E47" s="82" t="s">
        <v>54</v>
      </c>
      <c r="F47" s="83"/>
      <c r="G47" s="68">
        <f>SUM(H47:W47)</f>
        <v>217</v>
      </c>
      <c r="H47" s="61">
        <f t="shared" ref="H47:W47" si="7">COUNTA(H15:H46)-COUNTIF(H15:H46,"A")-COUNTIF(H15:H46,"D")-COUNTIF(H15:H46,"L")</f>
        <v>13</v>
      </c>
      <c r="I47" s="61">
        <f t="shared" si="7"/>
        <v>14</v>
      </c>
      <c r="J47" s="61">
        <f t="shared" si="7"/>
        <v>14</v>
      </c>
      <c r="K47" s="61">
        <f t="shared" si="7"/>
        <v>13</v>
      </c>
      <c r="L47" s="61">
        <f t="shared" si="7"/>
        <v>14</v>
      </c>
      <c r="M47" s="61">
        <f t="shared" si="7"/>
        <v>14</v>
      </c>
      <c r="N47" s="61">
        <f t="shared" si="7"/>
        <v>13</v>
      </c>
      <c r="O47" s="61">
        <f t="shared" si="7"/>
        <v>13</v>
      </c>
      <c r="P47" s="61">
        <f t="shared" si="7"/>
        <v>14</v>
      </c>
      <c r="Q47" s="61">
        <f t="shared" si="7"/>
        <v>14</v>
      </c>
      <c r="R47" s="61">
        <f t="shared" si="7"/>
        <v>13</v>
      </c>
      <c r="S47" s="61">
        <f t="shared" si="7"/>
        <v>14</v>
      </c>
      <c r="T47" s="61">
        <f t="shared" si="7"/>
        <v>14</v>
      </c>
      <c r="U47" s="61">
        <f t="shared" si="7"/>
        <v>13</v>
      </c>
      <c r="V47" s="61">
        <f t="shared" si="7"/>
        <v>13</v>
      </c>
      <c r="W47" s="63">
        <f t="shared" si="7"/>
        <v>14</v>
      </c>
      <c r="X47" s="46">
        <f t="shared" ref="X47:AE47" si="8">SUM(X15:X46)</f>
        <v>203</v>
      </c>
      <c r="Y47" s="47">
        <f t="shared" si="8"/>
        <v>1624</v>
      </c>
      <c r="Z47" s="47">
        <f t="shared" si="8"/>
        <v>0</v>
      </c>
      <c r="AA47" s="47">
        <f t="shared" si="8"/>
        <v>848</v>
      </c>
      <c r="AB47" s="47">
        <f t="shared" si="8"/>
        <v>132</v>
      </c>
      <c r="AC47" s="47">
        <f t="shared" si="8"/>
        <v>0</v>
      </c>
      <c r="AD47" s="47">
        <f t="shared" si="8"/>
        <v>0</v>
      </c>
      <c r="AE47" s="47">
        <f t="shared" si="8"/>
        <v>816</v>
      </c>
    </row>
    <row r="49" spans="2:31" ht="15.75">
      <c r="B49" s="20" t="s">
        <v>28</v>
      </c>
      <c r="H49" s="78" t="s">
        <v>33</v>
      </c>
      <c r="I49" s="78"/>
      <c r="J49" s="78"/>
      <c r="K49" s="78"/>
      <c r="R49" s="78" t="s">
        <v>34</v>
      </c>
      <c r="S49" s="78"/>
      <c r="T49" s="78"/>
      <c r="U49" s="78"/>
      <c r="Z49" s="4"/>
      <c r="AA49" s="1" t="s">
        <v>16</v>
      </c>
      <c r="AB49" s="41"/>
      <c r="AC49" s="2"/>
      <c r="AD49" s="38"/>
      <c r="AE49" s="4"/>
    </row>
    <row r="50" spans="2:31" ht="15.75">
      <c r="U50" s="3"/>
      <c r="Z50" s="38"/>
      <c r="AA50" s="24" t="s">
        <v>17</v>
      </c>
      <c r="AB50" s="42"/>
      <c r="AC50" s="6"/>
      <c r="AD50" s="38"/>
      <c r="AE50" s="3"/>
    </row>
    <row r="51" spans="2:31" ht="15.75">
      <c r="U51" s="3"/>
      <c r="Z51" s="38"/>
      <c r="AA51" s="24" t="s">
        <v>18</v>
      </c>
      <c r="AB51" s="42"/>
      <c r="AC51" s="6"/>
      <c r="AD51" s="38"/>
      <c r="AE51" s="3"/>
    </row>
    <row r="52" spans="2:31" ht="15.75">
      <c r="B52" s="79"/>
      <c r="C52" s="79"/>
      <c r="D52" s="79"/>
      <c r="E52" s="25"/>
      <c r="F52" s="25"/>
      <c r="G52" s="25"/>
      <c r="H52" s="79"/>
      <c r="I52" s="79"/>
      <c r="J52" s="79"/>
      <c r="K52" s="79"/>
      <c r="L52" s="79"/>
      <c r="M52" s="79"/>
      <c r="N52" s="79"/>
      <c r="O52" s="26"/>
      <c r="P52" s="26"/>
      <c r="Q52" s="26"/>
      <c r="R52" s="79" t="s">
        <v>95</v>
      </c>
      <c r="S52" s="79"/>
      <c r="T52" s="79"/>
      <c r="U52" s="79"/>
      <c r="V52" s="79"/>
      <c r="W52" s="79"/>
      <c r="X52" s="79"/>
      <c r="Z52" s="38"/>
      <c r="AA52" s="24" t="s">
        <v>19</v>
      </c>
      <c r="AB52" s="42"/>
      <c r="AC52" s="6"/>
      <c r="AD52" s="38"/>
      <c r="AE52" s="3"/>
    </row>
    <row r="53" spans="2:31" ht="15.75" customHeight="1">
      <c r="B53" s="81" t="s">
        <v>29</v>
      </c>
      <c r="C53" s="81"/>
      <c r="D53" s="81"/>
      <c r="H53" s="80" t="s">
        <v>30</v>
      </c>
      <c r="I53" s="80"/>
      <c r="J53" s="80"/>
      <c r="K53" s="80"/>
      <c r="L53" s="80"/>
      <c r="M53" s="80"/>
      <c r="N53" s="80"/>
      <c r="O53" s="13"/>
      <c r="P53" s="13"/>
      <c r="Q53" s="13"/>
      <c r="R53" s="80" t="s">
        <v>31</v>
      </c>
      <c r="S53" s="80"/>
      <c r="T53" s="80"/>
      <c r="U53" s="80"/>
      <c r="V53" s="80"/>
      <c r="W53" s="80"/>
      <c r="X53" s="80"/>
      <c r="Z53" s="38"/>
      <c r="AA53" s="24" t="s">
        <v>20</v>
      </c>
      <c r="AB53" s="7"/>
      <c r="AC53" s="38"/>
      <c r="AD53" s="38"/>
      <c r="AE53" s="3"/>
    </row>
    <row r="54" spans="2:31" ht="15.75">
      <c r="U54" s="3"/>
      <c r="Z54" s="38"/>
      <c r="AA54" s="24" t="s">
        <v>21</v>
      </c>
      <c r="AB54" s="42"/>
      <c r="AC54" s="6"/>
      <c r="AD54" s="38"/>
      <c r="AE54" s="3"/>
    </row>
    <row r="55" spans="2:31" ht="15.75">
      <c r="U55" s="3"/>
      <c r="Z55" s="38"/>
      <c r="AA55" s="24" t="s">
        <v>22</v>
      </c>
      <c r="AB55" s="42"/>
      <c r="AC55" s="6"/>
      <c r="AD55" s="38"/>
      <c r="AE55" s="3"/>
    </row>
    <row r="56" spans="2:31" ht="15.75">
      <c r="B56" s="21"/>
      <c r="C56" s="21"/>
      <c r="D56" s="21"/>
      <c r="E56" s="21"/>
      <c r="F56" s="21"/>
      <c r="G56" s="21"/>
      <c r="H56" s="21"/>
      <c r="I56" s="22"/>
      <c r="J56" s="22"/>
      <c r="K56" s="21"/>
      <c r="L56" s="21"/>
      <c r="M56" s="22"/>
      <c r="U56" s="7"/>
      <c r="Z56" s="38"/>
      <c r="AA56" s="24" t="s">
        <v>23</v>
      </c>
      <c r="AB56" s="7"/>
      <c r="AC56" s="38"/>
      <c r="AD56" s="38"/>
      <c r="AE56" s="3"/>
    </row>
    <row r="57" spans="2:31" ht="15.75">
      <c r="B57" s="21" t="s">
        <v>32</v>
      </c>
      <c r="C57" s="23"/>
      <c r="D57" s="23"/>
      <c r="E57" s="23"/>
      <c r="F57" s="23"/>
      <c r="G57" s="23"/>
      <c r="H57" s="23"/>
      <c r="I57" s="23"/>
      <c r="J57" s="24"/>
      <c r="K57" s="24"/>
      <c r="L57" s="23"/>
      <c r="M57" s="23"/>
      <c r="N57" s="22"/>
      <c r="O57" s="21"/>
      <c r="U57" s="3"/>
      <c r="Z57" s="38"/>
      <c r="AA57" s="24" t="s">
        <v>24</v>
      </c>
      <c r="AB57" s="7"/>
      <c r="AC57" s="38"/>
      <c r="AD57" s="38"/>
      <c r="AE57" s="3"/>
    </row>
    <row r="58" spans="2:31" ht="15.75">
      <c r="B58" s="22"/>
      <c r="C58" s="23"/>
      <c r="D58" s="24"/>
      <c r="E58" s="24"/>
      <c r="F58" s="24"/>
      <c r="G58" s="24"/>
      <c r="H58" s="24"/>
      <c r="I58" s="24"/>
      <c r="J58" s="24"/>
      <c r="K58" s="24"/>
      <c r="L58" s="23"/>
      <c r="M58" s="23"/>
      <c r="N58" s="22"/>
      <c r="O58" s="21"/>
      <c r="U58" s="3"/>
      <c r="Z58" s="38"/>
      <c r="AA58" s="24" t="s">
        <v>25</v>
      </c>
      <c r="AB58" s="7"/>
      <c r="AC58" s="38"/>
      <c r="AD58" s="38"/>
      <c r="AE58" s="3"/>
    </row>
    <row r="59" spans="2:31" ht="15.75">
      <c r="B59" s="22"/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2"/>
      <c r="O59" s="21"/>
      <c r="U59" s="3"/>
      <c r="Z59" s="38"/>
      <c r="AA59" s="40" t="s">
        <v>26</v>
      </c>
      <c r="AB59" s="43"/>
      <c r="AC59" s="39"/>
      <c r="AD59" s="38"/>
      <c r="AE59" s="3"/>
    </row>
    <row r="60" spans="2:31" ht="15.75">
      <c r="U60" s="3"/>
      <c r="Z60" s="39"/>
      <c r="AA60" s="40" t="s">
        <v>27</v>
      </c>
      <c r="AB60" s="43"/>
      <c r="AC60" s="39"/>
      <c r="AD60" s="39"/>
      <c r="AE60" s="9"/>
    </row>
    <row r="61" spans="2:31" ht="15.75">
      <c r="B61" s="20"/>
      <c r="C61" s="20"/>
      <c r="D61" s="20"/>
      <c r="E61" s="20"/>
      <c r="F61" s="20"/>
      <c r="G61" s="20"/>
      <c r="H61" s="20"/>
      <c r="I61" s="20"/>
      <c r="U61" s="8"/>
      <c r="Z61" s="39"/>
      <c r="AD61" s="39"/>
      <c r="AE61" s="9"/>
    </row>
    <row r="62" spans="2:31" ht="15.75">
      <c r="U62" s="8"/>
      <c r="Z62" s="39"/>
      <c r="AD62" s="39"/>
      <c r="AE62" s="9"/>
    </row>
  </sheetData>
  <sheetProtection insertRows="0"/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31:AD46 C15:AE16 H16:H21 J21:J24 L16:L20 N19:N28 O16:O21 P20:P23 Q21:Q24 R22:R25 S16:S20 T16:T21 U19:U28 W16:W17 E23:AD30 E17:AE22 AE23:AE46">
    <cfRule type="containsBlanks" dxfId="146" priority="55">
      <formula>LEN(TRIM(C15))=0</formula>
    </cfRule>
  </conditionalFormatting>
  <conditionalFormatting sqref="H12:W12">
    <cfRule type="expression" priority="53">
      <formula>TEXT($D$9+COLUMN()-COLUMN($H$12),"ddd")="Sun"</formula>
    </cfRule>
    <cfRule type="expression" dxfId="145" priority="54">
      <formula>TEXT($D$9+COLUMN()-COLUMN($H$12),"ddd")="Sun"</formula>
    </cfRule>
  </conditionalFormatting>
  <conditionalFormatting sqref="H14:W14">
    <cfRule type="containsBlanks" dxfId="144" priority="31">
      <formula>LEN(TRIM(H14))=0</formula>
    </cfRule>
    <cfRule type="expression" dxfId="143" priority="32">
      <formula>EXACT(H14, "S")</formula>
    </cfRule>
    <cfRule type="expression" dxfId="142" priority="33">
      <formula>EXACT(H14, "R")</formula>
    </cfRule>
    <cfRule type="expression" dxfId="141" priority="34">
      <formula>EXACT(H14, "T")</formula>
    </cfRule>
    <cfRule type="containsText" dxfId="140" priority="35" operator="containsText" text="SH">
      <formula>NOT(ISERROR(SEARCH("SH",H14)))</formula>
    </cfRule>
    <cfRule type="expression" dxfId="139" priority="36">
      <formula>EXACT(H14, "RS")</formula>
    </cfRule>
    <cfRule type="containsText" dxfId="138" priority="37" operator="containsText" text="LH">
      <formula>NOT(ISERROR(SEARCH("LH",H14)))</formula>
    </cfRule>
    <cfRule type="expression" dxfId="137" priority="38">
      <formula>EXACT(H14, "LR")</formula>
    </cfRule>
    <cfRule type="expression" dxfId="136" priority="39">
      <formula>EXACT(H14, "L")</formula>
    </cfRule>
    <cfRule type="expression" dxfId="135" priority="40">
      <formula>EXACT(H14, "D")</formula>
    </cfRule>
    <cfRule type="expression" dxfId="134" priority="41">
      <formula>EXACT(H14, "A")</formula>
    </cfRule>
  </conditionalFormatting>
  <conditionalFormatting sqref="J16 H15:W15 H16:H21 L16:L20 O16:O21 S16:S20 T16:T21 W16:W17">
    <cfRule type="containsBlanks" dxfId="133" priority="42">
      <formula>LEN(TRIM(H15))=0</formula>
    </cfRule>
  </conditionalFormatting>
  <conditionalFormatting sqref="H15:W46">
    <cfRule type="containsText" dxfId="132" priority="28" operator="containsText" text="12">
      <formula>NOT(ISERROR(SEARCH("12",H15)))</formula>
    </cfRule>
    <cfRule type="expression" dxfId="131" priority="29">
      <formula>H$14="LH"</formula>
    </cfRule>
    <cfRule type="expression" dxfId="130" priority="30" stopIfTrue="1">
      <formula>H$14="SH"</formula>
    </cfRule>
    <cfRule type="expression" dxfId="129" priority="43">
      <formula>EXACT(H15, "S")</formula>
    </cfRule>
    <cfRule type="expression" dxfId="128" priority="44">
      <formula>EXACT(H15, "R")</formula>
    </cfRule>
    <cfRule type="expression" dxfId="127" priority="45">
      <formula>EXACT(H15, "T")</formula>
    </cfRule>
    <cfRule type="containsText" dxfId="126" priority="46" operator="containsText" text="SH">
      <formula>NOT(ISERROR(SEARCH("SH",H15)))</formula>
    </cfRule>
    <cfRule type="expression" dxfId="125" priority="47">
      <formula>EXACT(H15, "RS")</formula>
    </cfRule>
    <cfRule type="containsText" dxfId="124" priority="48" operator="containsText" text="RH">
      <formula>NOT(ISERROR(SEARCH("RH",H15)))</formula>
    </cfRule>
    <cfRule type="expression" dxfId="123" priority="49">
      <formula>EXACT(H15, "LR")</formula>
    </cfRule>
    <cfRule type="expression" dxfId="122" priority="50">
      <formula>EXACT(H15, "L")</formula>
    </cfRule>
    <cfRule type="expression" dxfId="121" priority="51">
      <formula>EXACT(H15, "D")</formula>
    </cfRule>
    <cfRule type="expression" dxfId="120" priority="52">
      <formula>EXACT(H15, "A")</formula>
    </cfRule>
  </conditionalFormatting>
  <conditionalFormatting sqref="C17">
    <cfRule type="containsBlanks" dxfId="119" priority="27">
      <formula>LEN(TRIM(C17))=0</formula>
    </cfRule>
  </conditionalFormatting>
  <conditionalFormatting sqref="D17">
    <cfRule type="containsBlanks" dxfId="118" priority="26">
      <formula>LEN(TRIM(D17))=0</formula>
    </cfRule>
  </conditionalFormatting>
  <conditionalFormatting sqref="C18">
    <cfRule type="containsBlanks" dxfId="117" priority="25">
      <formula>LEN(TRIM(C18))=0</formula>
    </cfRule>
  </conditionalFormatting>
  <conditionalFormatting sqref="D18">
    <cfRule type="containsBlanks" dxfId="116" priority="24">
      <formula>LEN(TRIM(D18))=0</formula>
    </cfRule>
  </conditionalFormatting>
  <conditionalFormatting sqref="C19">
    <cfRule type="containsBlanks" dxfId="115" priority="23">
      <formula>LEN(TRIM(C19))=0</formula>
    </cfRule>
  </conditionalFormatting>
  <conditionalFormatting sqref="D19">
    <cfRule type="containsBlanks" dxfId="114" priority="22">
      <formula>LEN(TRIM(D19))=0</formula>
    </cfRule>
  </conditionalFormatting>
  <conditionalFormatting sqref="C20">
    <cfRule type="containsBlanks" dxfId="113" priority="21">
      <formula>LEN(TRIM(C20))=0</formula>
    </cfRule>
  </conditionalFormatting>
  <conditionalFormatting sqref="D20">
    <cfRule type="containsBlanks" dxfId="112" priority="20">
      <formula>LEN(TRIM(D20))=0</formula>
    </cfRule>
  </conditionalFormatting>
  <conditionalFormatting sqref="C21">
    <cfRule type="containsBlanks" dxfId="111" priority="19">
      <formula>LEN(TRIM(C21))=0</formula>
    </cfRule>
  </conditionalFormatting>
  <conditionalFormatting sqref="D21">
    <cfRule type="containsBlanks" dxfId="110" priority="18">
      <formula>LEN(TRIM(D21))=0</formula>
    </cfRule>
  </conditionalFormatting>
  <conditionalFormatting sqref="C22">
    <cfRule type="containsBlanks" dxfId="109" priority="17">
      <formula>LEN(TRIM(C22))=0</formula>
    </cfRule>
  </conditionalFormatting>
  <conditionalFormatting sqref="D22">
    <cfRule type="containsBlanks" dxfId="108" priority="16">
      <formula>LEN(TRIM(D22))=0</formula>
    </cfRule>
  </conditionalFormatting>
  <conditionalFormatting sqref="D23">
    <cfRule type="containsBlanks" dxfId="107" priority="15">
      <formula>LEN(TRIM(D23))=0</formula>
    </cfRule>
  </conditionalFormatting>
  <conditionalFormatting sqref="C24">
    <cfRule type="containsBlanks" dxfId="106" priority="14">
      <formula>LEN(TRIM(C24))=0</formula>
    </cfRule>
  </conditionalFormatting>
  <conditionalFormatting sqref="D24">
    <cfRule type="containsBlanks" dxfId="105" priority="13">
      <formula>LEN(TRIM(D24))=0</formula>
    </cfRule>
  </conditionalFormatting>
  <conditionalFormatting sqref="C25">
    <cfRule type="containsBlanks" dxfId="104" priority="12">
      <formula>LEN(TRIM(C25))=0</formula>
    </cfRule>
  </conditionalFormatting>
  <conditionalFormatting sqref="D25">
    <cfRule type="containsBlanks" dxfId="103" priority="11">
      <formula>LEN(TRIM(D25))=0</formula>
    </cfRule>
  </conditionalFormatting>
  <conditionalFormatting sqref="C26">
    <cfRule type="containsBlanks" dxfId="102" priority="10">
      <formula>LEN(TRIM(C26))=0</formula>
    </cfRule>
  </conditionalFormatting>
  <conditionalFormatting sqref="D26">
    <cfRule type="containsBlanks" dxfId="101" priority="9">
      <formula>LEN(TRIM(D26))=0</formula>
    </cfRule>
  </conditionalFormatting>
  <conditionalFormatting sqref="C27">
    <cfRule type="containsBlanks" dxfId="100" priority="8">
      <formula>LEN(TRIM(C27))=0</formula>
    </cfRule>
  </conditionalFormatting>
  <conditionalFormatting sqref="D27">
    <cfRule type="containsBlanks" dxfId="99" priority="7">
      <formula>LEN(TRIM(D27))=0</formula>
    </cfRule>
  </conditionalFormatting>
  <conditionalFormatting sqref="C28">
    <cfRule type="containsBlanks" dxfId="98" priority="6">
      <formula>LEN(TRIM(C28))=0</formula>
    </cfRule>
  </conditionalFormatting>
  <conditionalFormatting sqref="D28">
    <cfRule type="containsBlanks" dxfId="97" priority="5">
      <formula>LEN(TRIM(D28))=0</formula>
    </cfRule>
  </conditionalFormatting>
  <conditionalFormatting sqref="C29">
    <cfRule type="containsBlanks" dxfId="96" priority="4">
      <formula>LEN(TRIM(C29))=0</formula>
    </cfRule>
  </conditionalFormatting>
  <conditionalFormatting sqref="D29">
    <cfRule type="containsBlanks" dxfId="95" priority="3">
      <formula>LEN(TRIM(D29))=0</formula>
    </cfRule>
  </conditionalFormatting>
  <conditionalFormatting sqref="C30">
    <cfRule type="containsBlanks" dxfId="94" priority="2">
      <formula>LEN(TRIM(C30))=0</formula>
    </cfRule>
  </conditionalFormatting>
  <conditionalFormatting sqref="D30">
    <cfRule type="containsBlanks" dxfId="93" priority="1">
      <formula>LEN(TRIM(D30))=0</formula>
    </cfRule>
  </conditionalFormatting>
  <dataValidations count="1">
    <dataValidation type="list" allowBlank="1" showInputMessage="1" showErrorMessage="1" sqref="H14:W14" xr:uid="{00000000-0002-0000-0300-000000000000}">
      <formula1>"SH, LH"</formula1>
    </dataValidation>
  </dataValidations>
  <pageMargins left="0" right="0" top="0" bottom="0.19685039370078741" header="0" footer="0"/>
  <pageSetup paperSize="9" scale="49" fitToHeight="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1000000}">
          <x14:formula1>
            <xm:f>Sheet3!$A$2:$A$54</xm:f>
          </x14:formula1>
          <xm:sqref>H15:O46 P20:P46 Q25:Q46 P15:S19 R20:S46 T15:W46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E62"/>
  <sheetViews>
    <sheetView view="pageBreakPreview" topLeftCell="A10" zoomScale="86" zoomScaleNormal="70" zoomScaleSheetLayoutView="86" workbookViewId="0">
      <selection activeCell="E16" sqref="E16"/>
    </sheetView>
  </sheetViews>
  <sheetFormatPr defaultColWidth="9.125" defaultRowHeight="14.25"/>
  <cols>
    <col min="1" max="1" width="4.125" style="5" customWidth="1"/>
    <col min="2" max="2" width="6.625" style="5" customWidth="1"/>
    <col min="3" max="3" width="25.625" style="5" customWidth="1"/>
    <col min="4" max="4" width="12" style="5" customWidth="1"/>
    <col min="5" max="5" width="18.625" style="5" customWidth="1"/>
    <col min="6" max="6" width="14.125" style="5" customWidth="1"/>
    <col min="7" max="7" width="12" style="5" customWidth="1"/>
    <col min="8" max="23" width="5.75" style="5" customWidth="1"/>
    <col min="24" max="30" width="10.375" style="37" customWidth="1"/>
    <col min="31" max="31" width="10.375" style="5" customWidth="1"/>
    <col min="32" max="16384" width="9.125" style="5"/>
  </cols>
  <sheetData>
    <row r="1" spans="2:31" ht="15" thickBot="1"/>
    <row r="2" spans="2:31" ht="15.75">
      <c r="B2" s="10"/>
      <c r="C2" s="69" t="s">
        <v>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1"/>
    </row>
    <row r="3" spans="2:31" ht="15.75">
      <c r="B3" s="11"/>
      <c r="C3" s="72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4"/>
    </row>
    <row r="4" spans="2:31" ht="15.75">
      <c r="B4" s="11"/>
      <c r="C4" s="75" t="s">
        <v>1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7"/>
    </row>
    <row r="5" spans="2:31" ht="15.75">
      <c r="B5" s="11"/>
      <c r="C5" s="72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4"/>
    </row>
    <row r="6" spans="2:31" ht="16.5" customHeight="1" thickBot="1">
      <c r="B6" s="12"/>
      <c r="C6" s="85" t="s">
        <v>53</v>
      </c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7"/>
    </row>
    <row r="7" spans="2:31" ht="23.25" customHeight="1">
      <c r="C7" s="64" t="s">
        <v>55</v>
      </c>
      <c r="G7" s="34"/>
      <c r="H7" s="34"/>
    </row>
    <row r="8" spans="2:31" ht="15" customHeight="1">
      <c r="B8" s="27"/>
      <c r="C8" s="82" t="s">
        <v>57</v>
      </c>
      <c r="D8" s="83"/>
      <c r="E8" s="83"/>
      <c r="F8" s="84"/>
      <c r="G8" s="13"/>
      <c r="H8" s="13"/>
      <c r="I8" s="35"/>
      <c r="J8" s="13"/>
      <c r="K8" s="13"/>
      <c r="L8" s="13"/>
    </row>
    <row r="9" spans="2:31" ht="15" customHeight="1">
      <c r="C9" s="14" t="s">
        <v>2</v>
      </c>
      <c r="D9" s="89">
        <v>45992</v>
      </c>
      <c r="E9" s="89"/>
      <c r="F9" s="30"/>
      <c r="G9" s="33"/>
      <c r="H9" s="15"/>
      <c r="I9" s="15"/>
      <c r="J9" s="15"/>
      <c r="K9" s="15"/>
    </row>
    <row r="10" spans="2:31" ht="15" customHeight="1">
      <c r="B10" s="28"/>
      <c r="C10" s="14" t="s">
        <v>3</v>
      </c>
      <c r="D10" s="88">
        <v>46006</v>
      </c>
      <c r="E10" s="88"/>
      <c r="F10" s="31"/>
      <c r="G10" s="32"/>
      <c r="H10" s="15"/>
      <c r="I10" s="15"/>
      <c r="J10" s="15"/>
      <c r="K10" s="15"/>
    </row>
    <row r="11" spans="2:31" ht="15" thickBot="1"/>
    <row r="12" spans="2:31" ht="21.75" customHeight="1">
      <c r="B12" s="90" t="s">
        <v>4</v>
      </c>
      <c r="C12" s="90" t="s">
        <v>5</v>
      </c>
      <c r="D12" s="90" t="s">
        <v>45</v>
      </c>
      <c r="E12" s="90" t="s">
        <v>44</v>
      </c>
      <c r="F12" s="90" t="s">
        <v>38</v>
      </c>
      <c r="G12" s="93" t="s">
        <v>39</v>
      </c>
      <c r="H12" s="52" t="str">
        <f>IF(COLUMN()-COLUMN($H$12)&lt;=$D$10-$D9+1, TEXT($D$9+COLUMN()-COLUMN($H$12),"ddd"), "")</f>
        <v>Mon</v>
      </c>
      <c r="I12" s="53" t="str">
        <f t="shared" ref="I12:V12" si="0">IF(COLUMN()-COLUMN($H$12)&lt;=$D$10-$D9+1, TEXT($D$9+COLUMN()-COLUMN($H$12),"ddd"), "")</f>
        <v>Tue</v>
      </c>
      <c r="J12" s="53" t="str">
        <f t="shared" si="0"/>
        <v>Wed</v>
      </c>
      <c r="K12" s="53" t="str">
        <f t="shared" si="0"/>
        <v>Thu</v>
      </c>
      <c r="L12" s="53" t="str">
        <f t="shared" si="0"/>
        <v>Fri</v>
      </c>
      <c r="M12" s="53" t="str">
        <f t="shared" si="0"/>
        <v>Sat</v>
      </c>
      <c r="N12" s="53" t="str">
        <f t="shared" si="0"/>
        <v>Sun</v>
      </c>
      <c r="O12" s="53" t="str">
        <f t="shared" si="0"/>
        <v>Mon</v>
      </c>
      <c r="P12" s="53" t="str">
        <f t="shared" si="0"/>
        <v>Tue</v>
      </c>
      <c r="Q12" s="53" t="str">
        <f t="shared" si="0"/>
        <v>Wed</v>
      </c>
      <c r="R12" s="53" t="str">
        <f t="shared" si="0"/>
        <v>Thu</v>
      </c>
      <c r="S12" s="53" t="str">
        <f t="shared" si="0"/>
        <v>Fri</v>
      </c>
      <c r="T12" s="53" t="str">
        <f t="shared" si="0"/>
        <v>Sat</v>
      </c>
      <c r="U12" s="53" t="str">
        <f t="shared" si="0"/>
        <v>Sun</v>
      </c>
      <c r="V12" s="53" t="str">
        <f t="shared" si="0"/>
        <v>Mon</v>
      </c>
      <c r="W12" s="54"/>
      <c r="X12" s="48" t="s">
        <v>6</v>
      </c>
      <c r="Y12" s="49" t="s">
        <v>6</v>
      </c>
      <c r="Z12" s="49" t="s">
        <v>8</v>
      </c>
      <c r="AA12" s="49" t="s">
        <v>10</v>
      </c>
      <c r="AB12" s="49" t="s">
        <v>11</v>
      </c>
      <c r="AC12" s="49" t="s">
        <v>36</v>
      </c>
      <c r="AD12" s="49" t="s">
        <v>12</v>
      </c>
      <c r="AE12" s="90" t="s">
        <v>37</v>
      </c>
    </row>
    <row r="13" spans="2:31" ht="13.5" customHeight="1">
      <c r="B13" s="91"/>
      <c r="C13" s="91"/>
      <c r="D13" s="91"/>
      <c r="E13" s="91"/>
      <c r="F13" s="91"/>
      <c r="G13" s="94"/>
      <c r="H13" s="55">
        <f t="shared" ref="H13:V13" si="1">IF(COLUMN()-COLUMN($H$13)&lt;=$D$10-$D$9+1, DAY($D$9+COLUMN()-COLUMN($H$13)), "")</f>
        <v>1</v>
      </c>
      <c r="I13" s="44">
        <f t="shared" si="1"/>
        <v>2</v>
      </c>
      <c r="J13" s="44">
        <f t="shared" si="1"/>
        <v>3</v>
      </c>
      <c r="K13" s="44">
        <f t="shared" si="1"/>
        <v>4</v>
      </c>
      <c r="L13" s="44">
        <f t="shared" si="1"/>
        <v>5</v>
      </c>
      <c r="M13" s="44">
        <f t="shared" si="1"/>
        <v>6</v>
      </c>
      <c r="N13" s="44">
        <f t="shared" si="1"/>
        <v>7</v>
      </c>
      <c r="O13" s="44">
        <f t="shared" si="1"/>
        <v>8</v>
      </c>
      <c r="P13" s="44">
        <f t="shared" si="1"/>
        <v>9</v>
      </c>
      <c r="Q13" s="44">
        <f t="shared" si="1"/>
        <v>10</v>
      </c>
      <c r="R13" s="44">
        <f t="shared" si="1"/>
        <v>11</v>
      </c>
      <c r="S13" s="44">
        <f t="shared" si="1"/>
        <v>12</v>
      </c>
      <c r="T13" s="44">
        <f t="shared" si="1"/>
        <v>13</v>
      </c>
      <c r="U13" s="44">
        <f t="shared" si="1"/>
        <v>14</v>
      </c>
      <c r="V13" s="44">
        <f t="shared" si="1"/>
        <v>15</v>
      </c>
      <c r="W13" s="56"/>
      <c r="X13" s="96" t="s">
        <v>15</v>
      </c>
      <c r="Y13" s="90" t="s">
        <v>7</v>
      </c>
      <c r="Z13" s="90" t="s">
        <v>9</v>
      </c>
      <c r="AA13" s="90" t="s">
        <v>14</v>
      </c>
      <c r="AB13" s="90" t="s">
        <v>13</v>
      </c>
      <c r="AC13" s="90" t="s">
        <v>35</v>
      </c>
      <c r="AD13" s="90" t="s">
        <v>13</v>
      </c>
      <c r="AE13" s="91"/>
    </row>
    <row r="14" spans="2:31" ht="11.25" customHeight="1">
      <c r="B14" s="92"/>
      <c r="C14" s="92"/>
      <c r="D14" s="92"/>
      <c r="E14" s="92"/>
      <c r="F14" s="92"/>
      <c r="G14" s="95"/>
      <c r="H14" s="57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58"/>
      <c r="X14" s="97"/>
      <c r="Y14" s="92"/>
      <c r="Z14" s="92"/>
      <c r="AA14" s="92"/>
      <c r="AB14" s="92"/>
      <c r="AC14" s="92"/>
      <c r="AD14" s="92"/>
      <c r="AE14" s="92"/>
    </row>
    <row r="15" spans="2:31" ht="24.95" customHeight="1">
      <c r="B15" s="16">
        <f>ROW()-14</f>
        <v>1</v>
      </c>
      <c r="C15" s="18" t="s">
        <v>93</v>
      </c>
      <c r="D15" s="18">
        <v>1146</v>
      </c>
      <c r="E15" s="18" t="s">
        <v>50</v>
      </c>
      <c r="F15" s="18" t="s">
        <v>51</v>
      </c>
      <c r="G15" s="17" t="s">
        <v>56</v>
      </c>
      <c r="H15" s="59">
        <v>12</v>
      </c>
      <c r="I15" s="59">
        <v>12</v>
      </c>
      <c r="J15" s="59">
        <v>12</v>
      </c>
      <c r="K15" s="19">
        <v>12</v>
      </c>
      <c r="L15" s="19">
        <v>12</v>
      </c>
      <c r="M15" s="19" t="s">
        <v>40</v>
      </c>
      <c r="N15" s="19">
        <v>12</v>
      </c>
      <c r="O15" s="19">
        <v>12</v>
      </c>
      <c r="P15" s="19">
        <v>12</v>
      </c>
      <c r="Q15" s="19">
        <v>12</v>
      </c>
      <c r="R15" s="19">
        <v>12</v>
      </c>
      <c r="S15" s="19">
        <v>12</v>
      </c>
      <c r="T15" s="19" t="s">
        <v>40</v>
      </c>
      <c r="U15" s="19">
        <v>12</v>
      </c>
      <c r="V15" s="19">
        <v>12</v>
      </c>
      <c r="W15" s="60"/>
      <c r="X15" s="50" cm="1">
        <f t="array" ref="X15">SUMPRODUCT(--ISNUMBER(H15:W15), --($H$14:$W$14&lt;&gt;"LH"), --($H$14:$W$14&lt;&gt;"SH"))</f>
        <v>13</v>
      </c>
      <c r="Y15" s="19">
        <f>X15*8</f>
        <v>104</v>
      </c>
      <c r="Z15" s="19"/>
      <c r="AA15" s="19">
        <f>SUM(H15:W15)-AB15-AD15-Y15</f>
        <v>52</v>
      </c>
      <c r="AB15" s="19">
        <v>0</v>
      </c>
      <c r="AC15" s="19"/>
      <c r="AD15" s="19">
        <f>SUMIF($H$14:$W$14,"SH",$H15:$W15)</f>
        <v>0</v>
      </c>
      <c r="AE15" s="51"/>
    </row>
    <row r="16" spans="2:31" ht="24.95" customHeight="1">
      <c r="B16" s="16">
        <f t="shared" ref="B16:B46" si="2">ROW()-14</f>
        <v>2</v>
      </c>
      <c r="C16" s="18" t="s">
        <v>65</v>
      </c>
      <c r="D16" s="18">
        <v>1510</v>
      </c>
      <c r="E16" s="18" t="s">
        <v>50</v>
      </c>
      <c r="F16" s="18" t="s">
        <v>51</v>
      </c>
      <c r="G16" s="17" t="s">
        <v>56</v>
      </c>
      <c r="H16" s="59">
        <v>12</v>
      </c>
      <c r="I16" s="19">
        <v>12</v>
      </c>
      <c r="J16" s="19" t="s">
        <v>40</v>
      </c>
      <c r="K16" s="19">
        <v>12</v>
      </c>
      <c r="L16" s="19">
        <v>12</v>
      </c>
      <c r="M16" s="19">
        <v>12</v>
      </c>
      <c r="N16" s="19">
        <v>12</v>
      </c>
      <c r="O16" s="19">
        <v>12</v>
      </c>
      <c r="P16" s="19">
        <v>12</v>
      </c>
      <c r="Q16" s="19" t="s">
        <v>40</v>
      </c>
      <c r="R16" s="19">
        <v>12</v>
      </c>
      <c r="S16" s="19">
        <v>12</v>
      </c>
      <c r="T16" s="19">
        <v>12</v>
      </c>
      <c r="U16" s="19">
        <v>12</v>
      </c>
      <c r="V16" s="19">
        <v>12</v>
      </c>
      <c r="W16" s="60"/>
      <c r="X16" s="50" cm="1">
        <f t="array" ref="X16">SUMPRODUCT(--ISNUMBER(H16:W16), --($H$14:$W$14&lt;&gt;"LH"), --($H$14:$W$14&lt;&gt;"SH"))</f>
        <v>13</v>
      </c>
      <c r="Y16" s="19">
        <f t="shared" ref="Y16:Y46" si="3">X16*8</f>
        <v>104</v>
      </c>
      <c r="Z16" s="19"/>
      <c r="AA16" s="19">
        <f t="shared" ref="AA16:AA46" si="4">SUM(H16:W16)-AB16-AD16-Y16</f>
        <v>52</v>
      </c>
      <c r="AB16" s="19">
        <v>0</v>
      </c>
      <c r="AC16" s="19"/>
      <c r="AD16" s="19">
        <f t="shared" ref="AD16:AD46" si="5">SUMIF($H$14:$W$14,"SH",$H16:$W16)</f>
        <v>0</v>
      </c>
      <c r="AE16" s="51"/>
    </row>
    <row r="17" spans="2:31" ht="24.95" customHeight="1">
      <c r="B17" s="16">
        <f t="shared" si="2"/>
        <v>3</v>
      </c>
      <c r="C17" s="18" t="s">
        <v>96</v>
      </c>
      <c r="D17" s="18">
        <v>4515</v>
      </c>
      <c r="E17" s="18" t="s">
        <v>52</v>
      </c>
      <c r="F17" s="18" t="s">
        <v>51</v>
      </c>
      <c r="G17" s="17" t="s">
        <v>56</v>
      </c>
      <c r="H17" s="59" t="s">
        <v>40</v>
      </c>
      <c r="I17" s="19">
        <v>12</v>
      </c>
      <c r="J17" s="19">
        <v>12</v>
      </c>
      <c r="K17" s="19">
        <v>12</v>
      </c>
      <c r="L17" s="19">
        <v>12</v>
      </c>
      <c r="M17" s="19">
        <v>12</v>
      </c>
      <c r="N17" s="19">
        <v>12</v>
      </c>
      <c r="O17" s="19" t="s">
        <v>40</v>
      </c>
      <c r="P17" s="19">
        <v>12</v>
      </c>
      <c r="Q17" s="19">
        <v>12</v>
      </c>
      <c r="R17" s="19">
        <v>12</v>
      </c>
      <c r="S17" s="19">
        <v>12</v>
      </c>
      <c r="T17" s="19">
        <v>12</v>
      </c>
      <c r="U17" s="19">
        <v>12</v>
      </c>
      <c r="V17" s="19" t="s">
        <v>40</v>
      </c>
      <c r="W17" s="60"/>
      <c r="X17" s="50" cm="1">
        <f t="array" ref="X17">SUMPRODUCT(--ISNUMBER(H17:W17), --($H$14:$W$14&lt;&gt;"LH"), --($H$14:$W$14&lt;&gt;"SH"))</f>
        <v>12</v>
      </c>
      <c r="Y17" s="19">
        <f t="shared" si="3"/>
        <v>96</v>
      </c>
      <c r="Z17" s="19"/>
      <c r="AA17" s="19">
        <f t="shared" si="4"/>
        <v>48</v>
      </c>
      <c r="AB17" s="19">
        <v>0</v>
      </c>
      <c r="AC17" s="19"/>
      <c r="AD17" s="19">
        <f t="shared" si="5"/>
        <v>0</v>
      </c>
      <c r="AE17" s="51"/>
    </row>
    <row r="18" spans="2:31" ht="24.95" customHeight="1">
      <c r="B18" s="16">
        <f t="shared" si="2"/>
        <v>4</v>
      </c>
      <c r="C18" s="18" t="s">
        <v>64</v>
      </c>
      <c r="D18" s="18">
        <v>3869</v>
      </c>
      <c r="E18" s="18" t="s">
        <v>52</v>
      </c>
      <c r="F18" s="18" t="s">
        <v>51</v>
      </c>
      <c r="G18" s="17" t="s">
        <v>56</v>
      </c>
      <c r="H18" s="59">
        <v>12</v>
      </c>
      <c r="I18" s="19" t="s">
        <v>40</v>
      </c>
      <c r="J18" s="19">
        <v>12</v>
      </c>
      <c r="K18" s="19">
        <v>12</v>
      </c>
      <c r="L18" s="19">
        <v>12</v>
      </c>
      <c r="M18" s="19">
        <v>12</v>
      </c>
      <c r="N18" s="19">
        <v>12</v>
      </c>
      <c r="O18" s="19">
        <v>12</v>
      </c>
      <c r="P18" s="19" t="s">
        <v>40</v>
      </c>
      <c r="Q18" s="19">
        <v>12</v>
      </c>
      <c r="R18" s="19">
        <v>12</v>
      </c>
      <c r="S18" s="19">
        <v>12</v>
      </c>
      <c r="T18" s="19">
        <v>12</v>
      </c>
      <c r="U18" s="19">
        <v>12</v>
      </c>
      <c r="V18" s="19">
        <v>12</v>
      </c>
      <c r="W18" s="60"/>
      <c r="X18" s="50" cm="1">
        <f t="array" ref="X18">SUMPRODUCT(--ISNUMBER(H18:W18), --($H$14:$W$14&lt;&gt;"LH"), --($H$14:$W$14&lt;&gt;"SH"))</f>
        <v>13</v>
      </c>
      <c r="Y18" s="19">
        <f t="shared" si="3"/>
        <v>104</v>
      </c>
      <c r="Z18" s="19"/>
      <c r="AA18" s="19">
        <f t="shared" si="4"/>
        <v>52</v>
      </c>
      <c r="AB18" s="19">
        <v>0</v>
      </c>
      <c r="AC18" s="19"/>
      <c r="AD18" s="19">
        <f t="shared" si="5"/>
        <v>0</v>
      </c>
      <c r="AE18" s="51"/>
    </row>
    <row r="19" spans="2:31" ht="24.95" customHeight="1">
      <c r="B19" s="16">
        <f t="shared" si="2"/>
        <v>5</v>
      </c>
      <c r="C19" s="18" t="s">
        <v>92</v>
      </c>
      <c r="D19" s="18">
        <v>4589</v>
      </c>
      <c r="E19" s="18" t="s">
        <v>52</v>
      </c>
      <c r="F19" s="18" t="s">
        <v>51</v>
      </c>
      <c r="G19" s="17" t="s">
        <v>56</v>
      </c>
      <c r="H19" s="59">
        <v>12</v>
      </c>
      <c r="I19" s="19">
        <v>12</v>
      </c>
      <c r="J19" s="19">
        <v>12</v>
      </c>
      <c r="K19" s="19" t="s">
        <v>40</v>
      </c>
      <c r="L19" s="19">
        <v>12</v>
      </c>
      <c r="M19" s="19">
        <v>12</v>
      </c>
      <c r="N19" s="19">
        <v>12</v>
      </c>
      <c r="O19" s="19">
        <v>12</v>
      </c>
      <c r="P19" s="19">
        <v>12</v>
      </c>
      <c r="Q19" s="19">
        <v>12</v>
      </c>
      <c r="R19" s="19" t="s">
        <v>40</v>
      </c>
      <c r="S19" s="19">
        <v>12</v>
      </c>
      <c r="T19" s="19">
        <v>12</v>
      </c>
      <c r="U19" s="19">
        <v>12</v>
      </c>
      <c r="V19" s="19">
        <v>12</v>
      </c>
      <c r="W19" s="60"/>
      <c r="X19" s="50" cm="1">
        <f t="array" ref="X19">SUMPRODUCT(--ISNUMBER(H19:W19), --($H$14:$W$14&lt;&gt;"LH"), --($H$14:$W$14&lt;&gt;"SH"))</f>
        <v>13</v>
      </c>
      <c r="Y19" s="19">
        <f t="shared" si="3"/>
        <v>104</v>
      </c>
      <c r="Z19" s="19"/>
      <c r="AA19" s="19">
        <f t="shared" si="4"/>
        <v>52</v>
      </c>
      <c r="AB19" s="19">
        <f t="shared" ref="AB19:AB46" si="6">SUMIF($H$14:$W$14,"LH",$H19:$W19)</f>
        <v>0</v>
      </c>
      <c r="AC19" s="19"/>
      <c r="AD19" s="19">
        <f t="shared" si="5"/>
        <v>0</v>
      </c>
      <c r="AE19" s="51"/>
    </row>
    <row r="20" spans="2:31" ht="24.95" customHeight="1">
      <c r="B20" s="16">
        <f t="shared" si="2"/>
        <v>6</v>
      </c>
      <c r="C20" s="18" t="s">
        <v>97</v>
      </c>
      <c r="D20" s="18">
        <v>4559</v>
      </c>
      <c r="E20" s="18" t="s">
        <v>52</v>
      </c>
      <c r="F20" s="18" t="s">
        <v>51</v>
      </c>
      <c r="G20" s="17" t="s">
        <v>56</v>
      </c>
      <c r="H20" s="59">
        <v>12</v>
      </c>
      <c r="I20" s="19">
        <v>12</v>
      </c>
      <c r="J20" s="19">
        <v>12</v>
      </c>
      <c r="K20" s="19">
        <v>12</v>
      </c>
      <c r="L20" s="19" t="s">
        <v>40</v>
      </c>
      <c r="M20" s="19">
        <v>12</v>
      </c>
      <c r="N20" s="19">
        <v>12</v>
      </c>
      <c r="O20" s="19">
        <v>12</v>
      </c>
      <c r="P20" s="19">
        <v>12</v>
      </c>
      <c r="Q20" s="19">
        <v>12</v>
      </c>
      <c r="R20" s="19">
        <v>12</v>
      </c>
      <c r="S20" s="19" t="s">
        <v>40</v>
      </c>
      <c r="T20" s="19">
        <v>12</v>
      </c>
      <c r="U20" s="19">
        <v>12</v>
      </c>
      <c r="V20" s="19">
        <v>12</v>
      </c>
      <c r="W20" s="60"/>
      <c r="X20" s="50" cm="1">
        <f t="array" ref="X20">SUMPRODUCT(--ISNUMBER(H20:W20), --($H$14:$W$14&lt;&gt;"LH"), --($H$14:$W$14&lt;&gt;"SH"))</f>
        <v>13</v>
      </c>
      <c r="Y20" s="19">
        <f t="shared" si="3"/>
        <v>104</v>
      </c>
      <c r="Z20" s="19"/>
      <c r="AA20" s="19">
        <f t="shared" si="4"/>
        <v>52</v>
      </c>
      <c r="AB20" s="19">
        <f t="shared" si="6"/>
        <v>0</v>
      </c>
      <c r="AC20" s="19"/>
      <c r="AD20" s="19">
        <f t="shared" si="5"/>
        <v>0</v>
      </c>
      <c r="AE20" s="51"/>
    </row>
    <row r="21" spans="2:31" ht="24.95" customHeight="1">
      <c r="B21" s="16">
        <f t="shared" si="2"/>
        <v>7</v>
      </c>
      <c r="C21" s="18" t="s">
        <v>69</v>
      </c>
      <c r="D21" s="18">
        <v>4440</v>
      </c>
      <c r="E21" s="18" t="s">
        <v>52</v>
      </c>
      <c r="F21" s="18" t="s">
        <v>51</v>
      </c>
      <c r="G21" s="17" t="s">
        <v>56</v>
      </c>
      <c r="H21" s="59">
        <v>12</v>
      </c>
      <c r="I21" s="19">
        <v>12</v>
      </c>
      <c r="J21" s="19">
        <v>12</v>
      </c>
      <c r="K21" s="19">
        <v>12</v>
      </c>
      <c r="L21" s="19">
        <v>12</v>
      </c>
      <c r="M21" s="19" t="s">
        <v>40</v>
      </c>
      <c r="N21" s="19">
        <v>12</v>
      </c>
      <c r="O21" s="19">
        <v>12</v>
      </c>
      <c r="P21" s="19">
        <v>12</v>
      </c>
      <c r="Q21" s="19">
        <v>12</v>
      </c>
      <c r="R21" s="19">
        <v>12</v>
      </c>
      <c r="S21" s="19">
        <v>12</v>
      </c>
      <c r="T21" s="19" t="s">
        <v>40</v>
      </c>
      <c r="U21" s="19">
        <v>12</v>
      </c>
      <c r="V21" s="19">
        <v>12</v>
      </c>
      <c r="W21" s="60"/>
      <c r="X21" s="50" cm="1">
        <f t="array" ref="X21">SUMPRODUCT(--ISNUMBER(H21:W21), --($H$14:$W$14&lt;&gt;"LH"), --($H$14:$W$14&lt;&gt;"SH"))</f>
        <v>13</v>
      </c>
      <c r="Y21" s="19">
        <f t="shared" si="3"/>
        <v>104</v>
      </c>
      <c r="Z21" s="19"/>
      <c r="AA21" s="19">
        <f t="shared" si="4"/>
        <v>52</v>
      </c>
      <c r="AB21" s="19">
        <f t="shared" si="6"/>
        <v>0</v>
      </c>
      <c r="AC21" s="19"/>
      <c r="AD21" s="19">
        <f t="shared" si="5"/>
        <v>0</v>
      </c>
      <c r="AE21" s="51"/>
    </row>
    <row r="22" spans="2:31" ht="24.95" customHeight="1">
      <c r="B22" s="16">
        <f t="shared" si="2"/>
        <v>8</v>
      </c>
      <c r="C22" s="18" t="s">
        <v>68</v>
      </c>
      <c r="D22" s="18">
        <v>4530</v>
      </c>
      <c r="E22" s="18" t="s">
        <v>70</v>
      </c>
      <c r="F22" s="18" t="s">
        <v>51</v>
      </c>
      <c r="G22" s="17" t="s">
        <v>56</v>
      </c>
      <c r="H22" s="59">
        <v>12</v>
      </c>
      <c r="I22" s="59">
        <v>12</v>
      </c>
      <c r="J22" s="19">
        <v>12</v>
      </c>
      <c r="K22" s="59">
        <v>12</v>
      </c>
      <c r="L22" s="59">
        <v>12</v>
      </c>
      <c r="M22" s="59">
        <v>12</v>
      </c>
      <c r="N22" s="59" t="s">
        <v>40</v>
      </c>
      <c r="O22" s="59">
        <v>12</v>
      </c>
      <c r="P22" s="59">
        <v>12</v>
      </c>
      <c r="Q22" s="19">
        <v>12</v>
      </c>
      <c r="R22" s="19">
        <v>12</v>
      </c>
      <c r="S22" s="19">
        <v>12</v>
      </c>
      <c r="T22" s="19">
        <v>12</v>
      </c>
      <c r="U22" s="19" t="s">
        <v>40</v>
      </c>
      <c r="V22" s="19">
        <v>12</v>
      </c>
      <c r="W22" s="60"/>
      <c r="X22" s="50" cm="1">
        <f t="array" ref="X22">SUMPRODUCT(--ISNUMBER(H22:W22), --($H$14:$W$14&lt;&gt;"LH"), --($H$14:$W$14&lt;&gt;"SH"))</f>
        <v>13</v>
      </c>
      <c r="Y22" s="19">
        <f t="shared" si="3"/>
        <v>104</v>
      </c>
      <c r="Z22" s="19"/>
      <c r="AA22" s="19">
        <f t="shared" si="4"/>
        <v>52</v>
      </c>
      <c r="AB22" s="19">
        <f t="shared" si="6"/>
        <v>0</v>
      </c>
      <c r="AC22" s="19"/>
      <c r="AD22" s="19">
        <f t="shared" si="5"/>
        <v>0</v>
      </c>
      <c r="AE22" s="65"/>
    </row>
    <row r="23" spans="2:31" ht="24.95" customHeight="1">
      <c r="B23" s="16">
        <f t="shared" si="2"/>
        <v>9</v>
      </c>
      <c r="C23" s="5" t="s">
        <v>98</v>
      </c>
      <c r="D23" s="18">
        <v>3873</v>
      </c>
      <c r="E23" s="18" t="s">
        <v>52</v>
      </c>
      <c r="F23" s="18" t="s">
        <v>60</v>
      </c>
      <c r="G23" s="17" t="s">
        <v>89</v>
      </c>
      <c r="H23" s="59">
        <v>12</v>
      </c>
      <c r="I23" s="59">
        <v>12</v>
      </c>
      <c r="J23" s="19">
        <v>12</v>
      </c>
      <c r="K23" s="59">
        <v>12</v>
      </c>
      <c r="L23" s="59">
        <v>12</v>
      </c>
      <c r="M23" s="59">
        <v>12</v>
      </c>
      <c r="N23" s="59" t="s">
        <v>40</v>
      </c>
      <c r="O23" s="59">
        <v>12</v>
      </c>
      <c r="P23" s="59">
        <v>12</v>
      </c>
      <c r="Q23" s="19">
        <v>12</v>
      </c>
      <c r="R23" s="19">
        <v>12</v>
      </c>
      <c r="S23" s="19">
        <v>12</v>
      </c>
      <c r="T23" s="19">
        <v>12</v>
      </c>
      <c r="U23" s="19" t="s">
        <v>40</v>
      </c>
      <c r="V23" s="19">
        <v>12</v>
      </c>
      <c r="W23" s="60"/>
      <c r="X23" s="50" cm="1">
        <f t="array" ref="X23">SUMPRODUCT(--ISNUMBER(H23:W23), --($H$14:$W$14&lt;&gt;"LH"), --($H$14:$W$14&lt;&gt;"SH"))</f>
        <v>13</v>
      </c>
      <c r="Y23" s="19">
        <f t="shared" si="3"/>
        <v>104</v>
      </c>
      <c r="Z23" s="19"/>
      <c r="AA23" s="19">
        <f t="shared" si="4"/>
        <v>52</v>
      </c>
      <c r="AB23" s="19">
        <f t="shared" si="6"/>
        <v>0</v>
      </c>
      <c r="AC23" s="19"/>
      <c r="AD23" s="19">
        <f t="shared" si="5"/>
        <v>0</v>
      </c>
      <c r="AE23" s="65">
        <v>104</v>
      </c>
    </row>
    <row r="24" spans="2:31" ht="24.95" customHeight="1">
      <c r="B24" s="16">
        <f t="shared" si="2"/>
        <v>10</v>
      </c>
      <c r="C24" s="18" t="s">
        <v>102</v>
      </c>
      <c r="D24" s="18">
        <v>4578</v>
      </c>
      <c r="E24" s="18" t="s">
        <v>52</v>
      </c>
      <c r="F24" s="18" t="s">
        <v>60</v>
      </c>
      <c r="G24" s="17" t="s">
        <v>89</v>
      </c>
      <c r="H24" s="59" t="s">
        <v>40</v>
      </c>
      <c r="I24" s="19">
        <v>12</v>
      </c>
      <c r="J24" s="19">
        <v>12</v>
      </c>
      <c r="K24" s="19">
        <v>12</v>
      </c>
      <c r="L24" s="19">
        <v>12</v>
      </c>
      <c r="M24" s="19">
        <v>12</v>
      </c>
      <c r="N24" s="19">
        <v>12</v>
      </c>
      <c r="O24" s="19" t="s">
        <v>40</v>
      </c>
      <c r="P24" s="19">
        <v>12</v>
      </c>
      <c r="Q24" s="19">
        <v>12</v>
      </c>
      <c r="R24" s="19">
        <v>12</v>
      </c>
      <c r="S24" s="19">
        <v>12</v>
      </c>
      <c r="T24" s="19">
        <v>12</v>
      </c>
      <c r="U24" s="19">
        <v>12</v>
      </c>
      <c r="V24" s="19" t="s">
        <v>40</v>
      </c>
      <c r="W24" s="60"/>
      <c r="X24" s="50" cm="1">
        <f t="array" ref="X24">SUMPRODUCT(--ISNUMBER(H24:W24), --($H$14:$W$14&lt;&gt;"LH"), --($H$14:$W$14&lt;&gt;"SH"))</f>
        <v>12</v>
      </c>
      <c r="Y24" s="19">
        <f t="shared" si="3"/>
        <v>96</v>
      </c>
      <c r="Z24" s="19"/>
      <c r="AA24" s="19">
        <f t="shared" si="4"/>
        <v>48</v>
      </c>
      <c r="AB24" s="19">
        <f t="shared" si="6"/>
        <v>0</v>
      </c>
      <c r="AC24" s="19"/>
      <c r="AD24" s="19">
        <f t="shared" si="5"/>
        <v>0</v>
      </c>
      <c r="AE24" s="65">
        <v>96</v>
      </c>
    </row>
    <row r="25" spans="2:31" ht="24.95" customHeight="1">
      <c r="B25" s="16">
        <f t="shared" si="2"/>
        <v>11</v>
      </c>
      <c r="C25" s="18" t="s">
        <v>99</v>
      </c>
      <c r="D25" s="18">
        <v>4488</v>
      </c>
      <c r="E25" s="18" t="s">
        <v>52</v>
      </c>
      <c r="F25" s="18" t="s">
        <v>60</v>
      </c>
      <c r="G25" s="17" t="s">
        <v>89</v>
      </c>
      <c r="H25" s="59">
        <v>12</v>
      </c>
      <c r="I25" s="19" t="s">
        <v>40</v>
      </c>
      <c r="J25" s="19">
        <v>12</v>
      </c>
      <c r="K25" s="19">
        <v>12</v>
      </c>
      <c r="L25" s="19">
        <v>12</v>
      </c>
      <c r="M25" s="19">
        <v>12</v>
      </c>
      <c r="N25" s="19">
        <v>12</v>
      </c>
      <c r="O25" s="19">
        <v>12</v>
      </c>
      <c r="P25" s="19" t="s">
        <v>40</v>
      </c>
      <c r="Q25" s="19">
        <v>12</v>
      </c>
      <c r="R25" s="19">
        <v>12</v>
      </c>
      <c r="S25" s="19">
        <v>12</v>
      </c>
      <c r="T25" s="19">
        <v>12</v>
      </c>
      <c r="U25" s="19">
        <v>12</v>
      </c>
      <c r="V25" s="19">
        <v>12</v>
      </c>
      <c r="W25" s="60"/>
      <c r="X25" s="50" cm="1">
        <f t="array" ref="X25">SUMPRODUCT(--ISNUMBER(H25:W25), --($H$14:$W$14&lt;&gt;"LH"), --($H$14:$W$14&lt;&gt;"SH"))</f>
        <v>13</v>
      </c>
      <c r="Y25" s="19">
        <f t="shared" si="3"/>
        <v>104</v>
      </c>
      <c r="Z25" s="19"/>
      <c r="AA25" s="19">
        <f t="shared" si="4"/>
        <v>52</v>
      </c>
      <c r="AB25" s="19">
        <f t="shared" si="6"/>
        <v>0</v>
      </c>
      <c r="AC25" s="19"/>
      <c r="AD25" s="19">
        <f t="shared" si="5"/>
        <v>0</v>
      </c>
      <c r="AE25" s="65">
        <v>104</v>
      </c>
    </row>
    <row r="26" spans="2:31" ht="24.95" customHeight="1">
      <c r="B26" s="16">
        <f t="shared" si="2"/>
        <v>12</v>
      </c>
      <c r="C26" s="18" t="s">
        <v>100</v>
      </c>
      <c r="D26" s="18">
        <v>4585</v>
      </c>
      <c r="E26" s="18" t="s">
        <v>52</v>
      </c>
      <c r="F26" s="18" t="s">
        <v>60</v>
      </c>
      <c r="G26" s="17" t="s">
        <v>89</v>
      </c>
      <c r="H26" s="59">
        <v>12</v>
      </c>
      <c r="I26" s="19">
        <v>12</v>
      </c>
      <c r="J26" s="19" t="s">
        <v>40</v>
      </c>
      <c r="K26" s="19">
        <v>12</v>
      </c>
      <c r="L26" s="19">
        <v>12</v>
      </c>
      <c r="M26" s="19">
        <v>12</v>
      </c>
      <c r="N26" s="19">
        <v>12</v>
      </c>
      <c r="O26" s="19">
        <v>12</v>
      </c>
      <c r="P26" s="19">
        <v>12</v>
      </c>
      <c r="Q26" s="19" t="s">
        <v>40</v>
      </c>
      <c r="R26" s="19">
        <v>12</v>
      </c>
      <c r="S26" s="19">
        <v>12</v>
      </c>
      <c r="T26" s="19">
        <v>12</v>
      </c>
      <c r="U26" s="19">
        <v>12</v>
      </c>
      <c r="V26" s="19">
        <v>12</v>
      </c>
      <c r="W26" s="60"/>
      <c r="X26" s="50" cm="1">
        <f t="array" ref="X26">SUMPRODUCT(--ISNUMBER(H26:W26), --($H$14:$W$14&lt;&gt;"LH"), --($H$14:$W$14&lt;&gt;"SH"))</f>
        <v>13</v>
      </c>
      <c r="Y26" s="19">
        <f t="shared" si="3"/>
        <v>104</v>
      </c>
      <c r="Z26" s="19"/>
      <c r="AA26" s="19">
        <f t="shared" si="4"/>
        <v>52</v>
      </c>
      <c r="AB26" s="19">
        <f t="shared" si="6"/>
        <v>0</v>
      </c>
      <c r="AC26" s="19"/>
      <c r="AD26" s="19">
        <f t="shared" si="5"/>
        <v>0</v>
      </c>
      <c r="AE26" s="65">
        <v>104</v>
      </c>
    </row>
    <row r="27" spans="2:31" ht="24.95" customHeight="1">
      <c r="B27" s="16">
        <f t="shared" si="2"/>
        <v>13</v>
      </c>
      <c r="C27" s="18" t="s">
        <v>101</v>
      </c>
      <c r="D27" s="18">
        <v>4566</v>
      </c>
      <c r="E27" s="18" t="s">
        <v>52</v>
      </c>
      <c r="F27" s="18" t="s">
        <v>60</v>
      </c>
      <c r="G27" s="17" t="s">
        <v>89</v>
      </c>
      <c r="H27" s="59">
        <v>12</v>
      </c>
      <c r="I27" s="19">
        <v>12</v>
      </c>
      <c r="J27" s="19">
        <v>12</v>
      </c>
      <c r="K27" s="19" t="s">
        <v>40</v>
      </c>
      <c r="L27" s="19">
        <v>12</v>
      </c>
      <c r="M27" s="19">
        <v>12</v>
      </c>
      <c r="N27" s="19">
        <v>12</v>
      </c>
      <c r="O27" s="19">
        <v>12</v>
      </c>
      <c r="P27" s="19">
        <v>12</v>
      </c>
      <c r="Q27" s="19">
        <v>12</v>
      </c>
      <c r="R27" s="19" t="s">
        <v>40</v>
      </c>
      <c r="S27" s="19">
        <v>12</v>
      </c>
      <c r="T27" s="19">
        <v>12</v>
      </c>
      <c r="U27" s="19">
        <v>12</v>
      </c>
      <c r="V27" s="19">
        <v>12</v>
      </c>
      <c r="W27" s="60"/>
      <c r="X27" s="50" cm="1">
        <f t="array" ref="X27">SUMPRODUCT(--ISNUMBER(H27:W27), --($H$14:$W$14&lt;&gt;"LH"), --($H$14:$W$14&lt;&gt;"SH"))</f>
        <v>13</v>
      </c>
      <c r="Y27" s="19">
        <f t="shared" si="3"/>
        <v>104</v>
      </c>
      <c r="Z27" s="19"/>
      <c r="AA27" s="19">
        <f t="shared" si="4"/>
        <v>52</v>
      </c>
      <c r="AB27" s="19">
        <f t="shared" si="6"/>
        <v>0</v>
      </c>
      <c r="AC27" s="19"/>
      <c r="AD27" s="19">
        <f t="shared" si="5"/>
        <v>0</v>
      </c>
      <c r="AE27" s="65">
        <v>104</v>
      </c>
    </row>
    <row r="28" spans="2:31" ht="24.95" customHeight="1">
      <c r="B28" s="16">
        <f t="shared" si="2"/>
        <v>14</v>
      </c>
      <c r="C28" s="18" t="s">
        <v>62</v>
      </c>
      <c r="D28" s="18">
        <v>4114</v>
      </c>
      <c r="E28" s="18" t="s">
        <v>52</v>
      </c>
      <c r="F28" s="18" t="s">
        <v>60</v>
      </c>
      <c r="G28" s="17" t="s">
        <v>89</v>
      </c>
      <c r="H28" s="59">
        <v>12</v>
      </c>
      <c r="I28" s="19">
        <v>12</v>
      </c>
      <c r="J28" s="19">
        <v>12</v>
      </c>
      <c r="K28" s="19">
        <v>12</v>
      </c>
      <c r="L28" s="19" t="s">
        <v>40</v>
      </c>
      <c r="M28" s="19">
        <v>12</v>
      </c>
      <c r="N28" s="19">
        <v>12</v>
      </c>
      <c r="O28" s="19">
        <v>12</v>
      </c>
      <c r="P28" s="19">
        <v>12</v>
      </c>
      <c r="Q28" s="19">
        <v>12</v>
      </c>
      <c r="R28" s="19">
        <v>12</v>
      </c>
      <c r="S28" s="19" t="s">
        <v>40</v>
      </c>
      <c r="T28" s="19">
        <v>12</v>
      </c>
      <c r="U28" s="19">
        <v>12</v>
      </c>
      <c r="V28" s="19">
        <v>12</v>
      </c>
      <c r="W28" s="60"/>
      <c r="X28" s="50" cm="1">
        <f t="array" ref="X28">SUMPRODUCT(--ISNUMBER(H28:W28), --($H$14:$W$14&lt;&gt;"LH"), --($H$14:$W$14&lt;&gt;"SH"))</f>
        <v>13</v>
      </c>
      <c r="Y28" s="19">
        <f t="shared" si="3"/>
        <v>104</v>
      </c>
      <c r="Z28" s="19"/>
      <c r="AA28" s="19">
        <f t="shared" si="4"/>
        <v>52</v>
      </c>
      <c r="AB28" s="19">
        <f t="shared" si="6"/>
        <v>0</v>
      </c>
      <c r="AC28" s="19"/>
      <c r="AD28" s="19">
        <f t="shared" si="5"/>
        <v>0</v>
      </c>
      <c r="AE28" s="65">
        <v>104</v>
      </c>
    </row>
    <row r="29" spans="2:31" ht="24.95" customHeight="1">
      <c r="B29" s="16">
        <f t="shared" si="2"/>
        <v>15</v>
      </c>
      <c r="C29" s="18" t="s">
        <v>103</v>
      </c>
      <c r="D29" s="18">
        <v>4588</v>
      </c>
      <c r="E29" s="18" t="s">
        <v>52</v>
      </c>
      <c r="F29" s="18" t="s">
        <v>60</v>
      </c>
      <c r="G29" s="17" t="s">
        <v>89</v>
      </c>
      <c r="H29" s="59">
        <v>12</v>
      </c>
      <c r="I29" s="19">
        <v>12</v>
      </c>
      <c r="J29" s="19">
        <v>12</v>
      </c>
      <c r="K29" s="19">
        <v>12</v>
      </c>
      <c r="L29" s="19">
        <v>12</v>
      </c>
      <c r="M29" s="19" t="s">
        <v>40</v>
      </c>
      <c r="N29" s="19">
        <v>12</v>
      </c>
      <c r="O29" s="19">
        <v>12</v>
      </c>
      <c r="P29" s="19">
        <v>12</v>
      </c>
      <c r="Q29" s="19">
        <v>12</v>
      </c>
      <c r="R29" s="19">
        <v>12</v>
      </c>
      <c r="S29" s="19">
        <v>12</v>
      </c>
      <c r="T29" s="19" t="s">
        <v>40</v>
      </c>
      <c r="U29" s="19">
        <v>12</v>
      </c>
      <c r="V29" s="19">
        <v>12</v>
      </c>
      <c r="W29" s="60"/>
      <c r="X29" s="50" cm="1">
        <f t="array" ref="X29">SUMPRODUCT(--ISNUMBER(H29:W29), --($H$14:$W$14&lt;&gt;"LH"), --($H$14:$W$14&lt;&gt;"SH"))</f>
        <v>13</v>
      </c>
      <c r="Y29" s="19">
        <f t="shared" si="3"/>
        <v>104</v>
      </c>
      <c r="Z29" s="19"/>
      <c r="AA29" s="19">
        <f t="shared" si="4"/>
        <v>52</v>
      </c>
      <c r="AB29" s="19">
        <f t="shared" si="6"/>
        <v>0</v>
      </c>
      <c r="AC29" s="19"/>
      <c r="AD29" s="19">
        <f t="shared" si="5"/>
        <v>0</v>
      </c>
      <c r="AE29" s="65">
        <v>104</v>
      </c>
    </row>
    <row r="30" spans="2:31" ht="24.95" customHeight="1">
      <c r="B30" s="16">
        <f t="shared" si="2"/>
        <v>16</v>
      </c>
      <c r="C30" s="18" t="s">
        <v>71</v>
      </c>
      <c r="D30" s="18">
        <v>1569</v>
      </c>
      <c r="E30" s="18" t="s">
        <v>70</v>
      </c>
      <c r="F30" s="18" t="s">
        <v>60</v>
      </c>
      <c r="G30" s="17" t="s">
        <v>89</v>
      </c>
      <c r="H30" s="59">
        <v>12</v>
      </c>
      <c r="I30" s="19">
        <v>12</v>
      </c>
      <c r="J30" s="19">
        <v>12</v>
      </c>
      <c r="K30" s="19">
        <v>12</v>
      </c>
      <c r="L30" s="19">
        <v>12</v>
      </c>
      <c r="M30" s="19">
        <v>12</v>
      </c>
      <c r="N30" s="19" t="s">
        <v>40</v>
      </c>
      <c r="O30" s="19">
        <v>12</v>
      </c>
      <c r="P30" s="19">
        <v>12</v>
      </c>
      <c r="Q30" s="19">
        <v>12</v>
      </c>
      <c r="R30" s="19">
        <v>12</v>
      </c>
      <c r="S30" s="19">
        <v>12</v>
      </c>
      <c r="T30" s="19">
        <v>12</v>
      </c>
      <c r="U30" s="19" t="s">
        <v>40</v>
      </c>
      <c r="V30" s="19">
        <v>12</v>
      </c>
      <c r="W30" s="60"/>
      <c r="X30" s="50" cm="1">
        <f t="array" ref="X30">SUMPRODUCT(--ISNUMBER(H30:W30), --($H$14:$W$14&lt;&gt;"LH"), --($H$14:$W$14&lt;&gt;"SH"))</f>
        <v>13</v>
      </c>
      <c r="Y30" s="19">
        <f t="shared" si="3"/>
        <v>104</v>
      </c>
      <c r="Z30" s="19"/>
      <c r="AA30" s="19">
        <f t="shared" si="4"/>
        <v>52</v>
      </c>
      <c r="AB30" s="19">
        <f t="shared" si="6"/>
        <v>0</v>
      </c>
      <c r="AC30" s="19"/>
      <c r="AD30" s="19">
        <f t="shared" si="5"/>
        <v>0</v>
      </c>
      <c r="AE30" s="65">
        <v>104</v>
      </c>
    </row>
    <row r="31" spans="2:31" ht="24.95" customHeight="1">
      <c r="B31" s="16">
        <f t="shared" si="2"/>
        <v>17</v>
      </c>
      <c r="C31" s="66" t="s">
        <v>90</v>
      </c>
      <c r="D31" s="18"/>
      <c r="E31" s="18"/>
      <c r="F31" s="18"/>
      <c r="G31" s="17"/>
      <c r="H31" s="5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60"/>
      <c r="X31" s="50" cm="1">
        <f t="array" ref="X31">SUMPRODUCT(--ISNUMBER(H31:W31), --($H$14:$W$14&lt;&gt;"LH"), --($H$14:$W$14&lt;&gt;"SH"))</f>
        <v>0</v>
      </c>
      <c r="Y31" s="19">
        <f t="shared" si="3"/>
        <v>0</v>
      </c>
      <c r="Z31" s="19"/>
      <c r="AA31" s="19">
        <f t="shared" si="4"/>
        <v>0</v>
      </c>
      <c r="AB31" s="19">
        <f t="shared" si="6"/>
        <v>0</v>
      </c>
      <c r="AC31" s="19"/>
      <c r="AD31" s="19">
        <f t="shared" si="5"/>
        <v>0</v>
      </c>
      <c r="AE31" s="65"/>
    </row>
    <row r="32" spans="2:31" ht="24.95" customHeight="1">
      <c r="B32" s="16">
        <f t="shared" si="2"/>
        <v>18</v>
      </c>
      <c r="C32" s="18"/>
      <c r="D32" s="18"/>
      <c r="E32" s="18"/>
      <c r="F32" s="18"/>
      <c r="G32" s="17"/>
      <c r="H32" s="5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60"/>
      <c r="X32" s="50" cm="1">
        <f t="array" ref="X32">SUMPRODUCT(--ISNUMBER(H32:W32), --($H$14:$W$14&lt;&gt;"LH"), --($H$14:$W$14&lt;&gt;"SH"))</f>
        <v>0</v>
      </c>
      <c r="Y32" s="19">
        <f t="shared" si="3"/>
        <v>0</v>
      </c>
      <c r="Z32" s="19"/>
      <c r="AA32" s="19">
        <f t="shared" si="4"/>
        <v>0</v>
      </c>
      <c r="AB32" s="19">
        <f t="shared" si="6"/>
        <v>0</v>
      </c>
      <c r="AC32" s="19"/>
      <c r="AD32" s="19">
        <f t="shared" si="5"/>
        <v>0</v>
      </c>
      <c r="AE32" s="65"/>
    </row>
    <row r="33" spans="2:31" ht="24.95" customHeight="1">
      <c r="B33" s="16">
        <f t="shared" si="2"/>
        <v>19</v>
      </c>
      <c r="C33" s="18"/>
      <c r="D33" s="18"/>
      <c r="E33" s="18"/>
      <c r="F33" s="18"/>
      <c r="G33" s="17"/>
      <c r="H33" s="5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60"/>
      <c r="X33" s="50" cm="1">
        <f t="array" ref="X33">SUMPRODUCT(--ISNUMBER(H33:W33), --($H$14:$W$14&lt;&gt;"LH"), --($H$14:$W$14&lt;&gt;"SH"))</f>
        <v>0</v>
      </c>
      <c r="Y33" s="19">
        <f t="shared" si="3"/>
        <v>0</v>
      </c>
      <c r="Z33" s="19"/>
      <c r="AA33" s="19">
        <f t="shared" si="4"/>
        <v>0</v>
      </c>
      <c r="AB33" s="19">
        <f t="shared" si="6"/>
        <v>0</v>
      </c>
      <c r="AC33" s="19"/>
      <c r="AD33" s="19">
        <f t="shared" si="5"/>
        <v>0</v>
      </c>
      <c r="AE33" s="65"/>
    </row>
    <row r="34" spans="2:31" ht="24.95" customHeight="1">
      <c r="B34" s="16">
        <f t="shared" si="2"/>
        <v>20</v>
      </c>
      <c r="C34" s="18"/>
      <c r="D34" s="18"/>
      <c r="E34" s="18"/>
      <c r="F34" s="18"/>
      <c r="G34" s="17"/>
      <c r="H34" s="5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60"/>
      <c r="X34" s="50" cm="1">
        <f t="array" ref="X34">SUMPRODUCT(--ISNUMBER(H34:W34), --($H$14:$W$14&lt;&gt;"LH"), --($H$14:$W$14&lt;&gt;"SH"))</f>
        <v>0</v>
      </c>
      <c r="Y34" s="19">
        <f t="shared" si="3"/>
        <v>0</v>
      </c>
      <c r="Z34" s="19"/>
      <c r="AA34" s="19">
        <f t="shared" si="4"/>
        <v>0</v>
      </c>
      <c r="AB34" s="19">
        <f t="shared" si="6"/>
        <v>0</v>
      </c>
      <c r="AC34" s="19"/>
      <c r="AD34" s="19">
        <f t="shared" si="5"/>
        <v>0</v>
      </c>
      <c r="AE34" s="65"/>
    </row>
    <row r="35" spans="2:31" ht="24.95" customHeight="1">
      <c r="B35" s="16">
        <f t="shared" si="2"/>
        <v>21</v>
      </c>
      <c r="C35" s="18"/>
      <c r="D35" s="18"/>
      <c r="E35" s="18"/>
      <c r="F35" s="18"/>
      <c r="G35" s="17"/>
      <c r="H35" s="5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60"/>
      <c r="X35" s="50" cm="1">
        <f t="array" ref="X35">SUMPRODUCT(--ISNUMBER(H35:W35), --($H$14:$W$14&lt;&gt;"LH"), --($H$14:$W$14&lt;&gt;"SH"))</f>
        <v>0</v>
      </c>
      <c r="Y35" s="19">
        <f t="shared" si="3"/>
        <v>0</v>
      </c>
      <c r="Z35" s="19"/>
      <c r="AA35" s="19">
        <f t="shared" si="4"/>
        <v>0</v>
      </c>
      <c r="AB35" s="19">
        <f t="shared" si="6"/>
        <v>0</v>
      </c>
      <c r="AC35" s="19"/>
      <c r="AD35" s="19">
        <f t="shared" si="5"/>
        <v>0</v>
      </c>
      <c r="AE35" s="65"/>
    </row>
    <row r="36" spans="2:31" ht="24.95" customHeight="1">
      <c r="B36" s="16">
        <f t="shared" si="2"/>
        <v>22</v>
      </c>
      <c r="C36" s="18"/>
      <c r="D36" s="18"/>
      <c r="E36" s="18"/>
      <c r="F36" s="18"/>
      <c r="G36" s="17"/>
      <c r="H36" s="5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60"/>
      <c r="X36" s="50" cm="1">
        <f t="array" ref="X36">SUMPRODUCT(--ISNUMBER(H36:W36), --($H$14:$W$14&lt;&gt;"LH"), --($H$14:$W$14&lt;&gt;"SH"))</f>
        <v>0</v>
      </c>
      <c r="Y36" s="19">
        <f t="shared" si="3"/>
        <v>0</v>
      </c>
      <c r="Z36" s="19"/>
      <c r="AA36" s="19">
        <f t="shared" si="4"/>
        <v>0</v>
      </c>
      <c r="AB36" s="19">
        <f t="shared" si="6"/>
        <v>0</v>
      </c>
      <c r="AC36" s="19"/>
      <c r="AD36" s="19">
        <f t="shared" si="5"/>
        <v>0</v>
      </c>
      <c r="AE36" s="65"/>
    </row>
    <row r="37" spans="2:31" ht="24.95" customHeight="1">
      <c r="B37" s="16">
        <f t="shared" si="2"/>
        <v>23</v>
      </c>
      <c r="C37" s="18"/>
      <c r="D37" s="18"/>
      <c r="E37" s="18"/>
      <c r="F37" s="18"/>
      <c r="G37" s="17"/>
      <c r="H37" s="5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60"/>
      <c r="X37" s="50" cm="1">
        <f t="array" ref="X37">SUMPRODUCT(--ISNUMBER(H37:W37), --($H$14:$W$14&lt;&gt;"LH"), --($H$14:$W$14&lt;&gt;"SH"))</f>
        <v>0</v>
      </c>
      <c r="Y37" s="19">
        <f t="shared" si="3"/>
        <v>0</v>
      </c>
      <c r="Z37" s="19"/>
      <c r="AA37" s="19">
        <f t="shared" si="4"/>
        <v>0</v>
      </c>
      <c r="AB37" s="19">
        <f t="shared" si="6"/>
        <v>0</v>
      </c>
      <c r="AC37" s="19"/>
      <c r="AD37" s="19">
        <f t="shared" si="5"/>
        <v>0</v>
      </c>
      <c r="AE37" s="65"/>
    </row>
    <row r="38" spans="2:31" ht="24.95" customHeight="1">
      <c r="B38" s="16">
        <f t="shared" si="2"/>
        <v>24</v>
      </c>
      <c r="C38" s="18"/>
      <c r="D38" s="18"/>
      <c r="E38" s="18"/>
      <c r="F38" s="18"/>
      <c r="G38" s="17"/>
      <c r="H38" s="5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60"/>
      <c r="X38" s="50" cm="1">
        <f t="array" ref="X38">SUMPRODUCT(--ISNUMBER(H38:W38), --($H$14:$W$14&lt;&gt;"LH"), --($H$14:$W$14&lt;&gt;"SH"))</f>
        <v>0</v>
      </c>
      <c r="Y38" s="19">
        <f t="shared" si="3"/>
        <v>0</v>
      </c>
      <c r="Z38" s="19"/>
      <c r="AA38" s="19">
        <f t="shared" si="4"/>
        <v>0</v>
      </c>
      <c r="AB38" s="19">
        <f t="shared" si="6"/>
        <v>0</v>
      </c>
      <c r="AC38" s="19"/>
      <c r="AD38" s="19">
        <f t="shared" si="5"/>
        <v>0</v>
      </c>
      <c r="AE38" s="65"/>
    </row>
    <row r="39" spans="2:31" ht="24.95" customHeight="1">
      <c r="B39" s="16">
        <f t="shared" si="2"/>
        <v>25</v>
      </c>
      <c r="C39" s="18"/>
      <c r="D39" s="18"/>
      <c r="E39" s="18"/>
      <c r="F39" s="18"/>
      <c r="G39" s="17"/>
      <c r="H39" s="5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60"/>
      <c r="X39" s="50" cm="1">
        <f t="array" ref="X39">SUMPRODUCT(--ISNUMBER(H39:W39), --($H$14:$W$14&lt;&gt;"LH"), --($H$14:$W$14&lt;&gt;"SH"))</f>
        <v>0</v>
      </c>
      <c r="Y39" s="19">
        <f t="shared" si="3"/>
        <v>0</v>
      </c>
      <c r="Z39" s="19"/>
      <c r="AA39" s="19">
        <f t="shared" si="4"/>
        <v>0</v>
      </c>
      <c r="AB39" s="19">
        <f t="shared" si="6"/>
        <v>0</v>
      </c>
      <c r="AC39" s="19"/>
      <c r="AD39" s="19">
        <f t="shared" si="5"/>
        <v>0</v>
      </c>
      <c r="AE39" s="65"/>
    </row>
    <row r="40" spans="2:31" ht="24.95" customHeight="1">
      <c r="B40" s="16">
        <f t="shared" si="2"/>
        <v>26</v>
      </c>
      <c r="C40" s="18"/>
      <c r="D40" s="18"/>
      <c r="E40" s="18"/>
      <c r="F40" s="18"/>
      <c r="G40" s="17"/>
      <c r="H40" s="5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60"/>
      <c r="X40" s="50" cm="1">
        <f t="array" ref="X40">SUMPRODUCT(--ISNUMBER(H40:W40), --($H$14:$W$14&lt;&gt;"LH"), --($H$14:$W$14&lt;&gt;"SH"))</f>
        <v>0</v>
      </c>
      <c r="Y40" s="19">
        <f t="shared" si="3"/>
        <v>0</v>
      </c>
      <c r="Z40" s="19"/>
      <c r="AA40" s="19">
        <f t="shared" si="4"/>
        <v>0</v>
      </c>
      <c r="AB40" s="19">
        <f t="shared" si="6"/>
        <v>0</v>
      </c>
      <c r="AC40" s="19"/>
      <c r="AD40" s="19">
        <f t="shared" si="5"/>
        <v>0</v>
      </c>
      <c r="AE40" s="65"/>
    </row>
    <row r="41" spans="2:31" ht="24.95" customHeight="1">
      <c r="B41" s="16">
        <f t="shared" si="2"/>
        <v>27</v>
      </c>
      <c r="C41" s="18"/>
      <c r="D41" s="18"/>
      <c r="E41" s="18"/>
      <c r="F41" s="18"/>
      <c r="G41" s="17"/>
      <c r="H41" s="5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60"/>
      <c r="X41" s="50" cm="1">
        <f t="array" ref="X41">SUMPRODUCT(--ISNUMBER(H41:W41), --($H$14:$W$14&lt;&gt;"LH"), --($H$14:$W$14&lt;&gt;"SH"))</f>
        <v>0</v>
      </c>
      <c r="Y41" s="19">
        <f t="shared" si="3"/>
        <v>0</v>
      </c>
      <c r="Z41" s="19"/>
      <c r="AA41" s="19">
        <f t="shared" si="4"/>
        <v>0</v>
      </c>
      <c r="AB41" s="19">
        <f t="shared" si="6"/>
        <v>0</v>
      </c>
      <c r="AC41" s="19"/>
      <c r="AD41" s="19">
        <f t="shared" si="5"/>
        <v>0</v>
      </c>
      <c r="AE41" s="65"/>
    </row>
    <row r="42" spans="2:31" ht="24.95" customHeight="1">
      <c r="B42" s="16">
        <f t="shared" si="2"/>
        <v>28</v>
      </c>
      <c r="C42" s="18"/>
      <c r="D42" s="18"/>
      <c r="E42" s="18"/>
      <c r="F42" s="18"/>
      <c r="G42" s="17"/>
      <c r="H42" s="5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60"/>
      <c r="X42" s="50" cm="1">
        <f t="array" ref="X42">SUMPRODUCT(--ISNUMBER(H42:W42), --($H$14:$W$14&lt;&gt;"LH"), --($H$14:$W$14&lt;&gt;"SH"))</f>
        <v>0</v>
      </c>
      <c r="Y42" s="19">
        <f t="shared" si="3"/>
        <v>0</v>
      </c>
      <c r="Z42" s="19"/>
      <c r="AA42" s="19">
        <f t="shared" si="4"/>
        <v>0</v>
      </c>
      <c r="AB42" s="19">
        <f t="shared" si="6"/>
        <v>0</v>
      </c>
      <c r="AC42" s="19"/>
      <c r="AD42" s="19">
        <f t="shared" si="5"/>
        <v>0</v>
      </c>
      <c r="AE42" s="65"/>
    </row>
    <row r="43" spans="2:31" ht="24.95" customHeight="1">
      <c r="B43" s="16">
        <f t="shared" si="2"/>
        <v>29</v>
      </c>
      <c r="C43" s="18"/>
      <c r="D43" s="18"/>
      <c r="E43" s="18"/>
      <c r="F43" s="18"/>
      <c r="G43" s="17"/>
      <c r="H43" s="5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60"/>
      <c r="X43" s="50" cm="1">
        <f t="array" ref="X43">SUMPRODUCT(--ISNUMBER(H43:W43), --($H$14:$W$14&lt;&gt;"LH"), --($H$14:$W$14&lt;&gt;"SH"))</f>
        <v>0</v>
      </c>
      <c r="Y43" s="19">
        <f t="shared" si="3"/>
        <v>0</v>
      </c>
      <c r="Z43" s="19"/>
      <c r="AA43" s="19">
        <f t="shared" si="4"/>
        <v>0</v>
      </c>
      <c r="AB43" s="19">
        <f t="shared" si="6"/>
        <v>0</v>
      </c>
      <c r="AC43" s="19"/>
      <c r="AD43" s="19">
        <f t="shared" si="5"/>
        <v>0</v>
      </c>
      <c r="AE43" s="65"/>
    </row>
    <row r="44" spans="2:31" ht="24.95" customHeight="1">
      <c r="B44" s="16">
        <f t="shared" si="2"/>
        <v>30</v>
      </c>
      <c r="C44" s="18"/>
      <c r="D44" s="18"/>
      <c r="E44" s="18"/>
      <c r="F44" s="18"/>
      <c r="G44" s="17"/>
      <c r="H44" s="5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60"/>
      <c r="X44" s="50" cm="1">
        <f t="array" ref="X44">SUMPRODUCT(--ISNUMBER(H44:W44), --($H$14:$W$14&lt;&gt;"LH"), --($H$14:$W$14&lt;&gt;"SH"))</f>
        <v>0</v>
      </c>
      <c r="Y44" s="19">
        <f t="shared" si="3"/>
        <v>0</v>
      </c>
      <c r="Z44" s="19"/>
      <c r="AA44" s="19">
        <f t="shared" si="4"/>
        <v>0</v>
      </c>
      <c r="AB44" s="19">
        <f t="shared" si="6"/>
        <v>0</v>
      </c>
      <c r="AC44" s="19"/>
      <c r="AD44" s="19">
        <f t="shared" si="5"/>
        <v>0</v>
      </c>
      <c r="AE44" s="65"/>
    </row>
    <row r="45" spans="2:31" ht="24.95" customHeight="1">
      <c r="B45" s="16">
        <f t="shared" si="2"/>
        <v>31</v>
      </c>
      <c r="C45" s="18"/>
      <c r="D45" s="18"/>
      <c r="E45" s="18"/>
      <c r="F45" s="18"/>
      <c r="G45" s="17"/>
      <c r="H45" s="5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60"/>
      <c r="X45" s="50" cm="1">
        <f t="array" ref="X45">SUMPRODUCT(--ISNUMBER(H45:W45), --($H$14:$W$14&lt;&gt;"LH"), --($H$14:$W$14&lt;&gt;"SH"))</f>
        <v>0</v>
      </c>
      <c r="Y45" s="19">
        <f t="shared" si="3"/>
        <v>0</v>
      </c>
      <c r="Z45" s="19"/>
      <c r="AA45" s="19">
        <f t="shared" si="4"/>
        <v>0</v>
      </c>
      <c r="AB45" s="19">
        <f t="shared" si="6"/>
        <v>0</v>
      </c>
      <c r="AC45" s="19"/>
      <c r="AD45" s="19">
        <f t="shared" si="5"/>
        <v>0</v>
      </c>
      <c r="AE45" s="65"/>
    </row>
    <row r="46" spans="2:31" ht="24.95" customHeight="1">
      <c r="B46" s="16">
        <f t="shared" si="2"/>
        <v>32</v>
      </c>
      <c r="C46" s="18"/>
      <c r="D46" s="18"/>
      <c r="E46" s="18"/>
      <c r="F46" s="18"/>
      <c r="G46" s="17"/>
      <c r="H46" s="5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60"/>
      <c r="X46" s="50" cm="1">
        <f t="array" ref="X46">SUMPRODUCT(--ISNUMBER(H46:W46), --($H$14:$W$14&lt;&gt;"LH"), --($H$14:$W$14&lt;&gt;"SH"))</f>
        <v>0</v>
      </c>
      <c r="Y46" s="19">
        <f t="shared" si="3"/>
        <v>0</v>
      </c>
      <c r="Z46" s="19"/>
      <c r="AA46" s="19">
        <f t="shared" si="4"/>
        <v>0</v>
      </c>
      <c r="AB46" s="19">
        <f t="shared" si="6"/>
        <v>0</v>
      </c>
      <c r="AC46" s="19"/>
      <c r="AD46" s="19">
        <f t="shared" si="5"/>
        <v>0</v>
      </c>
      <c r="AE46" s="65"/>
    </row>
    <row r="47" spans="2:31" ht="22.5" customHeight="1" thickBot="1">
      <c r="B47" s="19"/>
      <c r="C47" s="18"/>
      <c r="D47" s="18"/>
      <c r="E47" s="82" t="s">
        <v>54</v>
      </c>
      <c r="F47" s="83"/>
      <c r="G47" s="68">
        <f>SUM(H47:W47)</f>
        <v>206</v>
      </c>
      <c r="H47" s="61">
        <f t="shared" ref="H47:W47" si="7">COUNTA(H15:H46)-COUNTIF(H15:H46,"A")-COUNTIF(H15:H46,"D")-COUNTIF(H15:H46,"L")</f>
        <v>14</v>
      </c>
      <c r="I47" s="61">
        <f t="shared" si="7"/>
        <v>14</v>
      </c>
      <c r="J47" s="61">
        <f t="shared" si="7"/>
        <v>14</v>
      </c>
      <c r="K47" s="61">
        <f t="shared" si="7"/>
        <v>14</v>
      </c>
      <c r="L47" s="61">
        <f t="shared" si="7"/>
        <v>14</v>
      </c>
      <c r="M47" s="61">
        <f t="shared" si="7"/>
        <v>13</v>
      </c>
      <c r="N47" s="61">
        <f t="shared" si="7"/>
        <v>13</v>
      </c>
      <c r="O47" s="61">
        <f t="shared" si="7"/>
        <v>14</v>
      </c>
      <c r="P47" s="61">
        <f t="shared" si="7"/>
        <v>14</v>
      </c>
      <c r="Q47" s="61">
        <f t="shared" si="7"/>
        <v>14</v>
      </c>
      <c r="R47" s="61">
        <f t="shared" si="7"/>
        <v>14</v>
      </c>
      <c r="S47" s="61">
        <f t="shared" si="7"/>
        <v>14</v>
      </c>
      <c r="T47" s="61">
        <f t="shared" si="7"/>
        <v>13</v>
      </c>
      <c r="U47" s="61">
        <f t="shared" si="7"/>
        <v>13</v>
      </c>
      <c r="V47" s="61">
        <f t="shared" si="7"/>
        <v>14</v>
      </c>
      <c r="W47" s="61">
        <f t="shared" si="7"/>
        <v>0</v>
      </c>
      <c r="X47" s="46">
        <f t="shared" ref="X47:AE47" si="8">SUM(X15:X46)</f>
        <v>206</v>
      </c>
      <c r="Y47" s="47">
        <f t="shared" si="8"/>
        <v>1648</v>
      </c>
      <c r="Z47" s="47">
        <f t="shared" si="8"/>
        <v>0</v>
      </c>
      <c r="AA47" s="47">
        <f t="shared" si="8"/>
        <v>824</v>
      </c>
      <c r="AB47" s="47">
        <f t="shared" si="8"/>
        <v>0</v>
      </c>
      <c r="AC47" s="47">
        <f t="shared" si="8"/>
        <v>0</v>
      </c>
      <c r="AD47" s="47">
        <f t="shared" si="8"/>
        <v>0</v>
      </c>
      <c r="AE47" s="47">
        <f t="shared" si="8"/>
        <v>824</v>
      </c>
    </row>
    <row r="49" spans="2:31" ht="15.75">
      <c r="B49" s="20" t="s">
        <v>28</v>
      </c>
      <c r="H49" s="78" t="s">
        <v>33</v>
      </c>
      <c r="I49" s="78"/>
      <c r="J49" s="78"/>
      <c r="K49" s="78"/>
      <c r="R49" s="78" t="s">
        <v>34</v>
      </c>
      <c r="S49" s="78"/>
      <c r="T49" s="78"/>
      <c r="U49" s="78"/>
      <c r="Z49" s="4"/>
      <c r="AA49" s="1" t="s">
        <v>16</v>
      </c>
      <c r="AB49" s="41"/>
      <c r="AC49" s="2"/>
      <c r="AD49" s="38"/>
      <c r="AE49" s="4"/>
    </row>
    <row r="50" spans="2:31" ht="15.75">
      <c r="U50" s="3"/>
      <c r="Z50" s="38"/>
      <c r="AA50" s="24" t="s">
        <v>17</v>
      </c>
      <c r="AB50" s="42"/>
      <c r="AC50" s="6"/>
      <c r="AD50" s="38"/>
      <c r="AE50" s="3"/>
    </row>
    <row r="51" spans="2:31" ht="15.75">
      <c r="U51" s="3"/>
      <c r="Z51" s="38"/>
      <c r="AA51" s="24" t="s">
        <v>18</v>
      </c>
      <c r="AB51" s="42"/>
      <c r="AC51" s="6"/>
      <c r="AD51" s="38"/>
      <c r="AE51" s="3"/>
    </row>
    <row r="52" spans="2:31" ht="15.75">
      <c r="B52" s="79"/>
      <c r="C52" s="79"/>
      <c r="D52" s="79"/>
      <c r="E52" s="25"/>
      <c r="F52" s="25"/>
      <c r="G52" s="25"/>
      <c r="H52" s="79"/>
      <c r="I52" s="79"/>
      <c r="J52" s="79"/>
      <c r="K52" s="79"/>
      <c r="L52" s="79"/>
      <c r="M52" s="79"/>
      <c r="N52" s="79"/>
      <c r="O52" s="26"/>
      <c r="P52" s="26"/>
      <c r="Q52" s="26"/>
      <c r="R52" s="79" t="s">
        <v>95</v>
      </c>
      <c r="S52" s="79"/>
      <c r="T52" s="79"/>
      <c r="U52" s="79"/>
      <c r="V52" s="79"/>
      <c r="W52" s="79"/>
      <c r="X52" s="79"/>
      <c r="Z52" s="38"/>
      <c r="AA52" s="24" t="s">
        <v>19</v>
      </c>
      <c r="AB52" s="42"/>
      <c r="AC52" s="6"/>
      <c r="AD52" s="38"/>
      <c r="AE52" s="3"/>
    </row>
    <row r="53" spans="2:31" ht="15.75" customHeight="1">
      <c r="B53" s="81" t="s">
        <v>29</v>
      </c>
      <c r="C53" s="81"/>
      <c r="D53" s="81"/>
      <c r="H53" s="80" t="s">
        <v>30</v>
      </c>
      <c r="I53" s="80"/>
      <c r="J53" s="80"/>
      <c r="K53" s="80"/>
      <c r="L53" s="80"/>
      <c r="M53" s="80"/>
      <c r="N53" s="80"/>
      <c r="O53" s="13"/>
      <c r="P53" s="13"/>
      <c r="Q53" s="13"/>
      <c r="R53" s="80" t="s">
        <v>31</v>
      </c>
      <c r="S53" s="80"/>
      <c r="T53" s="80"/>
      <c r="U53" s="80"/>
      <c r="V53" s="80"/>
      <c r="W53" s="80"/>
      <c r="X53" s="80"/>
      <c r="Z53" s="38"/>
      <c r="AA53" s="24" t="s">
        <v>20</v>
      </c>
      <c r="AB53" s="7"/>
      <c r="AC53" s="38"/>
      <c r="AD53" s="38"/>
      <c r="AE53" s="3"/>
    </row>
    <row r="54" spans="2:31" ht="15.75">
      <c r="U54" s="3"/>
      <c r="Z54" s="38"/>
      <c r="AA54" s="24" t="s">
        <v>21</v>
      </c>
      <c r="AB54" s="42"/>
      <c r="AC54" s="6"/>
      <c r="AD54" s="38"/>
      <c r="AE54" s="3"/>
    </row>
    <row r="55" spans="2:31" ht="15.75">
      <c r="U55" s="3"/>
      <c r="Z55" s="38"/>
      <c r="AA55" s="24" t="s">
        <v>22</v>
      </c>
      <c r="AB55" s="42"/>
      <c r="AC55" s="6"/>
      <c r="AD55" s="38"/>
      <c r="AE55" s="3"/>
    </row>
    <row r="56" spans="2:31" ht="15.75">
      <c r="B56" s="21"/>
      <c r="C56" s="21"/>
      <c r="D56" s="21"/>
      <c r="E56" s="21"/>
      <c r="F56" s="21"/>
      <c r="G56" s="21"/>
      <c r="H56" s="21"/>
      <c r="I56" s="22"/>
      <c r="J56" s="22"/>
      <c r="K56" s="21"/>
      <c r="L56" s="21"/>
      <c r="M56" s="22"/>
      <c r="U56" s="7"/>
      <c r="Z56" s="38"/>
      <c r="AA56" s="24" t="s">
        <v>23</v>
      </c>
      <c r="AB56" s="7"/>
      <c r="AC56" s="38"/>
      <c r="AD56" s="38"/>
      <c r="AE56" s="3"/>
    </row>
    <row r="57" spans="2:31" ht="15.75">
      <c r="B57" s="21" t="s">
        <v>32</v>
      </c>
      <c r="C57" s="23"/>
      <c r="D57" s="23"/>
      <c r="E57" s="23"/>
      <c r="F57" s="23"/>
      <c r="G57" s="23"/>
      <c r="H57" s="23"/>
      <c r="I57" s="23"/>
      <c r="J57" s="24"/>
      <c r="K57" s="24"/>
      <c r="L57" s="23"/>
      <c r="M57" s="23"/>
      <c r="N57" s="22"/>
      <c r="O57" s="21"/>
      <c r="U57" s="3"/>
      <c r="Z57" s="38"/>
      <c r="AA57" s="24" t="s">
        <v>24</v>
      </c>
      <c r="AB57" s="7"/>
      <c r="AC57" s="38"/>
      <c r="AD57" s="38"/>
      <c r="AE57" s="3"/>
    </row>
    <row r="58" spans="2:31" ht="15.75">
      <c r="B58" s="22"/>
      <c r="C58" s="23"/>
      <c r="D58" s="24"/>
      <c r="E58" s="24"/>
      <c r="F58" s="24"/>
      <c r="G58" s="24"/>
      <c r="H58" s="24"/>
      <c r="I58" s="24"/>
      <c r="J58" s="24"/>
      <c r="K58" s="24"/>
      <c r="L58" s="23"/>
      <c r="M58" s="23"/>
      <c r="N58" s="22"/>
      <c r="O58" s="21"/>
      <c r="U58" s="3"/>
      <c r="Z58" s="38"/>
      <c r="AA58" s="24" t="s">
        <v>25</v>
      </c>
      <c r="AB58" s="7"/>
      <c r="AC58" s="38"/>
      <c r="AD58" s="38"/>
      <c r="AE58" s="3"/>
    </row>
    <row r="59" spans="2:31" ht="15.75">
      <c r="B59" s="22"/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2"/>
      <c r="O59" s="21"/>
      <c r="U59" s="3"/>
      <c r="Z59" s="38"/>
      <c r="AA59" s="40" t="s">
        <v>26</v>
      </c>
      <c r="AB59" s="43"/>
      <c r="AC59" s="39"/>
      <c r="AD59" s="38"/>
      <c r="AE59" s="3"/>
    </row>
    <row r="60" spans="2:31" ht="15.75">
      <c r="U60" s="3"/>
      <c r="Z60" s="39"/>
      <c r="AA60" s="40" t="s">
        <v>27</v>
      </c>
      <c r="AB60" s="43"/>
      <c r="AC60" s="39"/>
      <c r="AD60" s="39"/>
      <c r="AE60" s="9"/>
    </row>
    <row r="61" spans="2:31" ht="15.75">
      <c r="B61" s="20"/>
      <c r="C61" s="20"/>
      <c r="D61" s="20"/>
      <c r="E61" s="20"/>
      <c r="F61" s="20"/>
      <c r="G61" s="20"/>
      <c r="H61" s="20"/>
      <c r="I61" s="20"/>
      <c r="U61" s="8"/>
      <c r="Z61" s="39"/>
      <c r="AD61" s="39"/>
      <c r="AE61" s="9"/>
    </row>
    <row r="62" spans="2:31" ht="15.75">
      <c r="U62" s="8"/>
      <c r="Z62" s="39"/>
      <c r="AD62" s="39"/>
      <c r="AE62" s="9"/>
    </row>
  </sheetData>
  <sheetProtection insertRows="0"/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31:AD46 C15:AE16 C30:F30 C22:AE22 C17:C21 C24:C29 E23:F29 N16:N21 Q18:Q25 R16:R18 R21:R26 S22:S27 S16:S19 E17:AE21 U16:U21 V16:V23 G23:AD30 AE23:AE46">
    <cfRule type="containsBlanks" dxfId="92" priority="40">
      <formula>LEN(TRIM(C15))=0</formula>
    </cfRule>
  </conditionalFormatting>
  <conditionalFormatting sqref="H12:W12">
    <cfRule type="expression" priority="38">
      <formula>TEXT($D$9+COLUMN()-COLUMN($H$12),"ddd")="Sun"</formula>
    </cfRule>
    <cfRule type="expression" dxfId="91" priority="39">
      <formula>TEXT($D$9+COLUMN()-COLUMN($H$12),"ddd")="Sun"</formula>
    </cfRule>
  </conditionalFormatting>
  <conditionalFormatting sqref="H14:W14">
    <cfRule type="containsBlanks" dxfId="90" priority="16">
      <formula>LEN(TRIM(H14))=0</formula>
    </cfRule>
    <cfRule type="expression" dxfId="89" priority="17">
      <formula>EXACT(H14, "S")</formula>
    </cfRule>
    <cfRule type="expression" dxfId="88" priority="18">
      <formula>EXACT(H14, "R")</formula>
    </cfRule>
    <cfRule type="expression" dxfId="87" priority="19">
      <formula>EXACT(H14, "T")</formula>
    </cfRule>
    <cfRule type="containsText" dxfId="86" priority="20" operator="containsText" text="SH">
      <formula>NOT(ISERROR(SEARCH("SH",H14)))</formula>
    </cfRule>
    <cfRule type="expression" dxfId="85" priority="21">
      <formula>EXACT(H14, "RS")</formula>
    </cfRule>
    <cfRule type="containsText" dxfId="84" priority="22" operator="containsText" text="LH">
      <formula>NOT(ISERROR(SEARCH("LH",H14)))</formula>
    </cfRule>
    <cfRule type="expression" dxfId="83" priority="23">
      <formula>EXACT(H14, "LR")</formula>
    </cfRule>
    <cfRule type="expression" dxfId="82" priority="24">
      <formula>EXACT(H14, "L")</formula>
    </cfRule>
    <cfRule type="expression" dxfId="81" priority="25">
      <formula>EXACT(H14, "D")</formula>
    </cfRule>
    <cfRule type="expression" dxfId="80" priority="26">
      <formula>EXACT(H14, "A")</formula>
    </cfRule>
  </conditionalFormatting>
  <conditionalFormatting sqref="J16 H15:W15 N16:N21 R16:R18 S16:S19 U16:U21 V16:V23">
    <cfRule type="containsBlanks" dxfId="79" priority="27">
      <formula>LEN(TRIM(H15))=0</formula>
    </cfRule>
  </conditionalFormatting>
  <conditionalFormatting sqref="H15:W46">
    <cfRule type="containsText" dxfId="78" priority="13" operator="containsText" text="12">
      <formula>NOT(ISERROR(SEARCH("12",H15)))</formula>
    </cfRule>
    <cfRule type="expression" dxfId="77" priority="14">
      <formula>H$14="LH"</formula>
    </cfRule>
    <cfRule type="expression" dxfId="76" priority="15" stopIfTrue="1">
      <formula>H$14="SH"</formula>
    </cfRule>
    <cfRule type="expression" dxfId="75" priority="28">
      <formula>EXACT(H15, "S")</formula>
    </cfRule>
    <cfRule type="expression" dxfId="74" priority="29">
      <formula>EXACT(H15, "R")</formula>
    </cfRule>
    <cfRule type="expression" dxfId="73" priority="30">
      <formula>EXACT(H15, "T")</formula>
    </cfRule>
    <cfRule type="containsText" dxfId="72" priority="31" operator="containsText" text="SH">
      <formula>NOT(ISERROR(SEARCH("SH",H15)))</formula>
    </cfRule>
    <cfRule type="expression" dxfId="71" priority="32">
      <formula>EXACT(H15, "RS")</formula>
    </cfRule>
    <cfRule type="containsText" dxfId="70" priority="33" operator="containsText" text="RH">
      <formula>NOT(ISERROR(SEARCH("RH",H15)))</formula>
    </cfRule>
    <cfRule type="expression" dxfId="69" priority="34">
      <formula>EXACT(H15, "LR")</formula>
    </cfRule>
    <cfRule type="expression" dxfId="68" priority="35">
      <formula>EXACT(H15, "L")</formula>
    </cfRule>
    <cfRule type="expression" dxfId="67" priority="36">
      <formula>EXACT(H15, "D")</formula>
    </cfRule>
    <cfRule type="expression" dxfId="66" priority="37">
      <formula>EXACT(H15, "A")</formula>
    </cfRule>
  </conditionalFormatting>
  <conditionalFormatting sqref="D17">
    <cfRule type="containsBlanks" dxfId="65" priority="12">
      <formula>LEN(TRIM(D17))=0</formula>
    </cfRule>
  </conditionalFormatting>
  <conditionalFormatting sqref="D18">
    <cfRule type="containsBlanks" dxfId="64" priority="11">
      <formula>LEN(TRIM(D18))=0</formula>
    </cfRule>
  </conditionalFormatting>
  <conditionalFormatting sqref="D19">
    <cfRule type="containsBlanks" dxfId="63" priority="10">
      <formula>LEN(TRIM(D19))=0</formula>
    </cfRule>
  </conditionalFormatting>
  <conditionalFormatting sqref="D29">
    <cfRule type="containsBlanks" dxfId="62" priority="1">
      <formula>LEN(TRIM(D29))=0</formula>
    </cfRule>
  </conditionalFormatting>
  <conditionalFormatting sqref="D20">
    <cfRule type="containsBlanks" dxfId="61" priority="9">
      <formula>LEN(TRIM(D20))=0</formula>
    </cfRule>
  </conditionalFormatting>
  <conditionalFormatting sqref="D21">
    <cfRule type="containsBlanks" dxfId="60" priority="8">
      <formula>LEN(TRIM(D21))=0</formula>
    </cfRule>
  </conditionalFormatting>
  <conditionalFormatting sqref="D23">
    <cfRule type="containsBlanks" dxfId="59" priority="7">
      <formula>LEN(TRIM(D23))=0</formula>
    </cfRule>
  </conditionalFormatting>
  <conditionalFormatting sqref="D24">
    <cfRule type="containsBlanks" dxfId="58" priority="6">
      <formula>LEN(TRIM(D24))=0</formula>
    </cfRule>
  </conditionalFormatting>
  <conditionalFormatting sqref="D25">
    <cfRule type="containsBlanks" dxfId="57" priority="5">
      <formula>LEN(TRIM(D25))=0</formula>
    </cfRule>
  </conditionalFormatting>
  <conditionalFormatting sqref="D26">
    <cfRule type="containsBlanks" dxfId="56" priority="4">
      <formula>LEN(TRIM(D26))=0</formula>
    </cfRule>
  </conditionalFormatting>
  <conditionalFormatting sqref="D27">
    <cfRule type="containsBlanks" dxfId="55" priority="3">
      <formula>LEN(TRIM(D27))=0</formula>
    </cfRule>
  </conditionalFormatting>
  <conditionalFormatting sqref="D28">
    <cfRule type="containsBlanks" dxfId="54" priority="2">
      <formula>LEN(TRIM(D28))=0</formula>
    </cfRule>
  </conditionalFormatting>
  <dataValidations count="1">
    <dataValidation type="list" allowBlank="1" showInputMessage="1" showErrorMessage="1" sqref="H14:W14" xr:uid="{00000000-0002-0000-0400-000000000000}">
      <formula1>"SH, LH"</formula1>
    </dataValidation>
  </dataValidations>
  <pageMargins left="0" right="0" top="0" bottom="0.19685039370078741" header="0" footer="0"/>
  <pageSetup paperSize="9" scale="49" fitToHeight="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1000000}">
          <x14:formula1>
            <xm:f>Sheet3!$A$2:$A$54</xm:f>
          </x14:formula1>
          <xm:sqref>H15:W46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E62"/>
  <sheetViews>
    <sheetView view="pageBreakPreview" topLeftCell="A13" zoomScale="86" zoomScaleNormal="70" zoomScaleSheetLayoutView="86" workbookViewId="0">
      <selection activeCell="E16" sqref="E16"/>
    </sheetView>
  </sheetViews>
  <sheetFormatPr defaultColWidth="9.125" defaultRowHeight="14.25"/>
  <cols>
    <col min="1" max="1" width="4.125" style="5" customWidth="1"/>
    <col min="2" max="2" width="6.625" style="5" customWidth="1"/>
    <col min="3" max="3" width="25.625" style="5" customWidth="1"/>
    <col min="4" max="4" width="12" style="5" customWidth="1"/>
    <col min="5" max="5" width="18.625" style="5" customWidth="1"/>
    <col min="6" max="6" width="14.125" style="5" customWidth="1"/>
    <col min="7" max="7" width="12" style="5" customWidth="1"/>
    <col min="8" max="23" width="5.75" style="5" customWidth="1"/>
    <col min="24" max="30" width="10.375" style="37" customWidth="1"/>
    <col min="31" max="31" width="10.375" style="5" customWidth="1"/>
    <col min="32" max="16384" width="9.125" style="5"/>
  </cols>
  <sheetData>
    <row r="1" spans="2:31" ht="15" thickBot="1"/>
    <row r="2" spans="2:31" ht="15.75">
      <c r="B2" s="10"/>
      <c r="C2" s="69" t="s">
        <v>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1"/>
    </row>
    <row r="3" spans="2:31" ht="15.75">
      <c r="B3" s="11"/>
      <c r="C3" s="72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4"/>
    </row>
    <row r="4" spans="2:31" ht="15.75">
      <c r="B4" s="11"/>
      <c r="C4" s="75" t="s">
        <v>1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7"/>
    </row>
    <row r="5" spans="2:31" ht="15.75">
      <c r="B5" s="11"/>
      <c r="C5" s="72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4"/>
    </row>
    <row r="6" spans="2:31" ht="16.5" customHeight="1" thickBot="1">
      <c r="B6" s="12"/>
      <c r="C6" s="85" t="s">
        <v>53</v>
      </c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7"/>
    </row>
    <row r="7" spans="2:31" ht="23.25" customHeight="1">
      <c r="C7" s="64" t="s">
        <v>55</v>
      </c>
      <c r="G7" s="34"/>
      <c r="H7" s="34"/>
    </row>
    <row r="8" spans="2:31" ht="15" customHeight="1">
      <c r="B8" s="27"/>
      <c r="C8" s="82" t="s">
        <v>57</v>
      </c>
      <c r="D8" s="83"/>
      <c r="E8" s="83"/>
      <c r="F8" s="84"/>
      <c r="G8" s="13"/>
      <c r="H8" s="13"/>
      <c r="I8" s="35"/>
      <c r="J8" s="13"/>
      <c r="K8" s="13"/>
      <c r="L8" s="13"/>
    </row>
    <row r="9" spans="2:31" ht="15" customHeight="1">
      <c r="C9" s="14" t="s">
        <v>2</v>
      </c>
      <c r="D9" s="89">
        <v>46007</v>
      </c>
      <c r="E9" s="89"/>
      <c r="F9" s="30"/>
      <c r="G9" s="33"/>
      <c r="H9" s="15"/>
      <c r="I9" s="15"/>
      <c r="J9" s="15"/>
      <c r="K9" s="15"/>
    </row>
    <row r="10" spans="2:31" ht="15" customHeight="1">
      <c r="B10" s="28"/>
      <c r="C10" s="14" t="s">
        <v>3</v>
      </c>
      <c r="D10" s="88">
        <v>46022</v>
      </c>
      <c r="E10" s="88"/>
      <c r="F10" s="31"/>
      <c r="G10" s="32"/>
      <c r="H10" s="15"/>
      <c r="I10" s="15"/>
      <c r="J10" s="15"/>
      <c r="K10" s="15"/>
    </row>
    <row r="11" spans="2:31" ht="15" thickBot="1"/>
    <row r="12" spans="2:31" ht="21.75" customHeight="1">
      <c r="B12" s="90" t="s">
        <v>4</v>
      </c>
      <c r="C12" s="90" t="s">
        <v>5</v>
      </c>
      <c r="D12" s="90" t="s">
        <v>45</v>
      </c>
      <c r="E12" s="90" t="s">
        <v>44</v>
      </c>
      <c r="F12" s="90" t="s">
        <v>38</v>
      </c>
      <c r="G12" s="93" t="s">
        <v>39</v>
      </c>
      <c r="H12" s="52" t="str">
        <f>IF(COLUMN()-COLUMN($H$12)&lt;=$D$10-$D9+1, TEXT($D$9+COLUMN()-COLUMN($H$12),"ddd"), "")</f>
        <v>Tue</v>
      </c>
      <c r="I12" s="53" t="str">
        <f t="shared" ref="I12:V12" si="0">IF(COLUMN()-COLUMN($H$12)&lt;=$D$10-$D9+1, TEXT($D$9+COLUMN()-COLUMN($H$12),"ddd"), "")</f>
        <v>Wed</v>
      </c>
      <c r="J12" s="53" t="str">
        <f t="shared" si="0"/>
        <v>Thu</v>
      </c>
      <c r="K12" s="53" t="str">
        <f t="shared" si="0"/>
        <v>Fri</v>
      </c>
      <c r="L12" s="53" t="str">
        <f t="shared" si="0"/>
        <v>Sat</v>
      </c>
      <c r="M12" s="53" t="str">
        <f t="shared" si="0"/>
        <v>Sun</v>
      </c>
      <c r="N12" s="53" t="str">
        <f t="shared" si="0"/>
        <v>Mon</v>
      </c>
      <c r="O12" s="53" t="str">
        <f t="shared" si="0"/>
        <v>Tue</v>
      </c>
      <c r="P12" s="53" t="str">
        <f t="shared" si="0"/>
        <v>Wed</v>
      </c>
      <c r="Q12" s="53" t="str">
        <f t="shared" si="0"/>
        <v>Thu</v>
      </c>
      <c r="R12" s="53" t="str">
        <f t="shared" si="0"/>
        <v>Fri</v>
      </c>
      <c r="S12" s="53" t="str">
        <f t="shared" si="0"/>
        <v>Sat</v>
      </c>
      <c r="T12" s="53" t="str">
        <f t="shared" si="0"/>
        <v>Sun</v>
      </c>
      <c r="U12" s="53" t="str">
        <f t="shared" si="0"/>
        <v>Mon</v>
      </c>
      <c r="V12" s="53" t="str">
        <f t="shared" si="0"/>
        <v>Tue</v>
      </c>
      <c r="W12" s="54" t="s">
        <v>91</v>
      </c>
      <c r="X12" s="48" t="s">
        <v>6</v>
      </c>
      <c r="Y12" s="49" t="s">
        <v>6</v>
      </c>
      <c r="Z12" s="49" t="s">
        <v>8</v>
      </c>
      <c r="AA12" s="49" t="s">
        <v>10</v>
      </c>
      <c r="AB12" s="49" t="s">
        <v>11</v>
      </c>
      <c r="AC12" s="49" t="s">
        <v>36</v>
      </c>
      <c r="AD12" s="49" t="s">
        <v>12</v>
      </c>
      <c r="AE12" s="90" t="s">
        <v>37</v>
      </c>
    </row>
    <row r="13" spans="2:31" ht="13.5" customHeight="1">
      <c r="B13" s="91"/>
      <c r="C13" s="91"/>
      <c r="D13" s="91"/>
      <c r="E13" s="91"/>
      <c r="F13" s="91"/>
      <c r="G13" s="94"/>
      <c r="H13" s="55">
        <f t="shared" ref="H13:V13" si="1">IF(COLUMN()-COLUMN($H$13)&lt;=$D$10-$D$9+1, DAY($D$9+COLUMN()-COLUMN($H$13)), "")</f>
        <v>16</v>
      </c>
      <c r="I13" s="44">
        <f t="shared" si="1"/>
        <v>17</v>
      </c>
      <c r="J13" s="44">
        <f t="shared" si="1"/>
        <v>18</v>
      </c>
      <c r="K13" s="44">
        <f t="shared" si="1"/>
        <v>19</v>
      </c>
      <c r="L13" s="44">
        <f t="shared" si="1"/>
        <v>20</v>
      </c>
      <c r="M13" s="44">
        <f t="shared" si="1"/>
        <v>21</v>
      </c>
      <c r="N13" s="44">
        <f t="shared" si="1"/>
        <v>22</v>
      </c>
      <c r="O13" s="44">
        <f t="shared" si="1"/>
        <v>23</v>
      </c>
      <c r="P13" s="44">
        <f t="shared" si="1"/>
        <v>24</v>
      </c>
      <c r="Q13" s="44">
        <f t="shared" si="1"/>
        <v>25</v>
      </c>
      <c r="R13" s="44">
        <f t="shared" si="1"/>
        <v>26</v>
      </c>
      <c r="S13" s="44">
        <f t="shared" si="1"/>
        <v>27</v>
      </c>
      <c r="T13" s="44">
        <f t="shared" si="1"/>
        <v>28</v>
      </c>
      <c r="U13" s="44">
        <f t="shared" si="1"/>
        <v>29</v>
      </c>
      <c r="V13" s="44">
        <f t="shared" si="1"/>
        <v>30</v>
      </c>
      <c r="W13" s="56">
        <v>31</v>
      </c>
      <c r="X13" s="96" t="s">
        <v>15</v>
      </c>
      <c r="Y13" s="90" t="s">
        <v>7</v>
      </c>
      <c r="Z13" s="90" t="s">
        <v>9</v>
      </c>
      <c r="AA13" s="90" t="s">
        <v>14</v>
      </c>
      <c r="AB13" s="90" t="s">
        <v>13</v>
      </c>
      <c r="AC13" s="90" t="s">
        <v>35</v>
      </c>
      <c r="AD13" s="90" t="s">
        <v>13</v>
      </c>
      <c r="AE13" s="91"/>
    </row>
    <row r="14" spans="2:31" ht="11.25" customHeight="1">
      <c r="B14" s="92"/>
      <c r="C14" s="92"/>
      <c r="D14" s="92"/>
      <c r="E14" s="92"/>
      <c r="F14" s="92"/>
      <c r="G14" s="95"/>
      <c r="H14" s="57"/>
      <c r="I14" s="45"/>
      <c r="J14" s="45"/>
      <c r="K14" s="45"/>
      <c r="L14" s="45"/>
      <c r="M14" s="45"/>
      <c r="N14" s="45"/>
      <c r="O14" s="45"/>
      <c r="P14" s="45" t="s">
        <v>105</v>
      </c>
      <c r="Q14" s="45" t="s">
        <v>104</v>
      </c>
      <c r="R14" s="45"/>
      <c r="S14" s="45"/>
      <c r="T14" s="45"/>
      <c r="U14" s="45"/>
      <c r="V14" s="45" t="s">
        <v>104</v>
      </c>
      <c r="W14" s="58" t="s">
        <v>105</v>
      </c>
      <c r="X14" s="97"/>
      <c r="Y14" s="92"/>
      <c r="Z14" s="92"/>
      <c r="AA14" s="92"/>
      <c r="AB14" s="92"/>
      <c r="AC14" s="92"/>
      <c r="AD14" s="92"/>
      <c r="AE14" s="92"/>
    </row>
    <row r="15" spans="2:31" ht="24.95" customHeight="1">
      <c r="B15" s="16">
        <f>ROW()-14</f>
        <v>1</v>
      </c>
      <c r="C15" s="18" t="s">
        <v>93</v>
      </c>
      <c r="D15" s="18">
        <v>1146</v>
      </c>
      <c r="E15" s="18" t="s">
        <v>50</v>
      </c>
      <c r="F15" s="18" t="s">
        <v>51</v>
      </c>
      <c r="G15" s="17" t="s">
        <v>56</v>
      </c>
      <c r="H15" s="59">
        <v>12</v>
      </c>
      <c r="I15" s="59">
        <v>12</v>
      </c>
      <c r="J15" s="59">
        <v>12</v>
      </c>
      <c r="K15" s="59">
        <v>12</v>
      </c>
      <c r="L15" s="19" t="s">
        <v>40</v>
      </c>
      <c r="M15" s="19">
        <v>12</v>
      </c>
      <c r="N15" s="19">
        <v>12</v>
      </c>
      <c r="O15" s="19">
        <v>12</v>
      </c>
      <c r="P15" s="19">
        <v>12</v>
      </c>
      <c r="Q15" s="19">
        <v>12</v>
      </c>
      <c r="R15" s="19">
        <v>12</v>
      </c>
      <c r="S15" s="19" t="s">
        <v>40</v>
      </c>
      <c r="T15" s="19">
        <v>12</v>
      </c>
      <c r="U15" s="19">
        <v>12</v>
      </c>
      <c r="V15" s="19">
        <v>12</v>
      </c>
      <c r="W15" s="60">
        <v>12</v>
      </c>
      <c r="X15" s="50" cm="1">
        <f t="array" ref="X15">SUMPRODUCT(--ISNUMBER(H15:W15), --($H$14:$W$14&lt;&gt;"LH"), --($H$14:$W$14&lt;&gt;"SH"))</f>
        <v>10</v>
      </c>
      <c r="Y15" s="19">
        <f>X15*8</f>
        <v>80</v>
      </c>
      <c r="Z15" s="19"/>
      <c r="AA15" s="19">
        <f>SUM(H15:W15)-AB15-AD15-Y15</f>
        <v>64</v>
      </c>
      <c r="AB15" s="19">
        <v>0</v>
      </c>
      <c r="AC15" s="19"/>
      <c r="AD15" s="19">
        <f>SUMIF($H$14:$W$14,"SH",$H15:$W15)</f>
        <v>24</v>
      </c>
      <c r="AE15" s="51"/>
    </row>
    <row r="16" spans="2:31" ht="24.95" customHeight="1">
      <c r="B16" s="16">
        <f t="shared" ref="B16:B46" si="2">ROW()-14</f>
        <v>2</v>
      </c>
      <c r="C16" s="18" t="s">
        <v>65</v>
      </c>
      <c r="D16" s="18">
        <v>1510</v>
      </c>
      <c r="E16" s="18" t="s">
        <v>50</v>
      </c>
      <c r="F16" s="18" t="s">
        <v>51</v>
      </c>
      <c r="G16" s="17" t="s">
        <v>56</v>
      </c>
      <c r="H16" s="59">
        <v>12</v>
      </c>
      <c r="I16" s="19" t="s">
        <v>40</v>
      </c>
      <c r="J16" s="19">
        <v>12</v>
      </c>
      <c r="K16" s="19">
        <v>12</v>
      </c>
      <c r="L16" s="19">
        <v>12</v>
      </c>
      <c r="M16" s="19">
        <v>12</v>
      </c>
      <c r="N16" s="19">
        <v>12</v>
      </c>
      <c r="O16" s="19">
        <v>12</v>
      </c>
      <c r="P16" s="19" t="s">
        <v>40</v>
      </c>
      <c r="Q16" s="19">
        <v>12</v>
      </c>
      <c r="R16" s="19">
        <v>12</v>
      </c>
      <c r="S16" s="19">
        <v>12</v>
      </c>
      <c r="T16" s="19">
        <v>12</v>
      </c>
      <c r="U16" s="19">
        <v>12</v>
      </c>
      <c r="V16" s="19">
        <v>12</v>
      </c>
      <c r="W16" s="60">
        <v>12</v>
      </c>
      <c r="X16" s="50" cm="1">
        <f t="array" ref="X16">SUMPRODUCT(--ISNUMBER(H16:W16), --($H$14:$W$14&lt;&gt;"LH"), --($H$14:$W$14&lt;&gt;"SH"))</f>
        <v>11</v>
      </c>
      <c r="Y16" s="19">
        <f t="shared" ref="Y16:Y46" si="3">X16*8</f>
        <v>88</v>
      </c>
      <c r="Z16" s="19"/>
      <c r="AA16" s="19">
        <f t="shared" ref="AA16:AA46" si="4">SUM(H16:W16)-AB16-AD16-Y16</f>
        <v>68</v>
      </c>
      <c r="AB16" s="19">
        <v>0</v>
      </c>
      <c r="AC16" s="19"/>
      <c r="AD16" s="19">
        <f t="shared" ref="AD16:AD46" si="5">SUMIF($H$14:$W$14,"SH",$H16:$W16)</f>
        <v>12</v>
      </c>
      <c r="AE16" s="51"/>
    </row>
    <row r="17" spans="2:31" ht="24.95" customHeight="1">
      <c r="B17" s="16">
        <f t="shared" si="2"/>
        <v>3</v>
      </c>
      <c r="C17" s="18" t="s">
        <v>96</v>
      </c>
      <c r="D17" s="18">
        <v>4515</v>
      </c>
      <c r="E17" s="18" t="s">
        <v>52</v>
      </c>
      <c r="F17" s="18" t="s">
        <v>51</v>
      </c>
      <c r="G17" s="17" t="s">
        <v>56</v>
      </c>
      <c r="H17" s="59">
        <v>12</v>
      </c>
      <c r="I17" s="59">
        <v>12</v>
      </c>
      <c r="J17" s="59">
        <v>12</v>
      </c>
      <c r="K17" s="59">
        <v>12</v>
      </c>
      <c r="L17" s="59">
        <v>12</v>
      </c>
      <c r="M17" s="59">
        <v>12</v>
      </c>
      <c r="N17" s="19" t="s">
        <v>40</v>
      </c>
      <c r="O17" s="19">
        <v>12</v>
      </c>
      <c r="P17" s="19">
        <v>12</v>
      </c>
      <c r="Q17" s="19">
        <v>12</v>
      </c>
      <c r="R17" s="19">
        <v>12</v>
      </c>
      <c r="S17" s="19">
        <v>12</v>
      </c>
      <c r="T17" s="19">
        <v>12</v>
      </c>
      <c r="U17" s="19" t="s">
        <v>40</v>
      </c>
      <c r="V17" s="19">
        <v>12</v>
      </c>
      <c r="W17" s="60">
        <v>12</v>
      </c>
      <c r="X17" s="50" cm="1">
        <f t="array" ref="X17">SUMPRODUCT(--ISNUMBER(H17:W17), --($H$14:$W$14&lt;&gt;"LH"), --($H$14:$W$14&lt;&gt;"SH"))</f>
        <v>10</v>
      </c>
      <c r="Y17" s="19">
        <f t="shared" si="3"/>
        <v>80</v>
      </c>
      <c r="Z17" s="19"/>
      <c r="AA17" s="19">
        <f t="shared" si="4"/>
        <v>64</v>
      </c>
      <c r="AB17" s="19">
        <v>0</v>
      </c>
      <c r="AC17" s="19"/>
      <c r="AD17" s="19">
        <f t="shared" si="5"/>
        <v>24</v>
      </c>
      <c r="AE17" s="51"/>
    </row>
    <row r="18" spans="2:31" ht="24.95" customHeight="1">
      <c r="B18" s="16">
        <f t="shared" si="2"/>
        <v>4</v>
      </c>
      <c r="C18" s="18" t="s">
        <v>64</v>
      </c>
      <c r="D18" s="18">
        <v>3869</v>
      </c>
      <c r="E18" s="18" t="s">
        <v>52</v>
      </c>
      <c r="F18" s="18" t="s">
        <v>51</v>
      </c>
      <c r="G18" s="17" t="s">
        <v>56</v>
      </c>
      <c r="H18" s="59" t="s">
        <v>40</v>
      </c>
      <c r="I18" s="19">
        <v>12</v>
      </c>
      <c r="J18" s="19">
        <v>12</v>
      </c>
      <c r="K18" s="19">
        <v>12</v>
      </c>
      <c r="L18" s="19">
        <v>12</v>
      </c>
      <c r="M18" s="19">
        <v>12</v>
      </c>
      <c r="N18" s="19">
        <v>12</v>
      </c>
      <c r="O18" s="19" t="s">
        <v>40</v>
      </c>
      <c r="P18" s="19">
        <v>12</v>
      </c>
      <c r="Q18" s="19">
        <v>12</v>
      </c>
      <c r="R18" s="19">
        <v>12</v>
      </c>
      <c r="S18" s="19">
        <v>12</v>
      </c>
      <c r="T18" s="19">
        <v>12</v>
      </c>
      <c r="U18" s="19">
        <v>12</v>
      </c>
      <c r="V18" s="19" t="s">
        <v>40</v>
      </c>
      <c r="W18" s="60">
        <v>12</v>
      </c>
      <c r="X18" s="50" cm="1">
        <f t="array" ref="X18">SUMPRODUCT(--ISNUMBER(H18:W18), --($H$14:$W$14&lt;&gt;"LH"), --($H$14:$W$14&lt;&gt;"SH"))</f>
        <v>10</v>
      </c>
      <c r="Y18" s="19">
        <f t="shared" si="3"/>
        <v>80</v>
      </c>
      <c r="Z18" s="19"/>
      <c r="AA18" s="19">
        <f t="shared" si="4"/>
        <v>52</v>
      </c>
      <c r="AB18" s="19">
        <v>0</v>
      </c>
      <c r="AC18" s="19"/>
      <c r="AD18" s="19">
        <f t="shared" si="5"/>
        <v>24</v>
      </c>
      <c r="AE18" s="51"/>
    </row>
    <row r="19" spans="2:31" ht="24.95" customHeight="1">
      <c r="B19" s="16">
        <f t="shared" si="2"/>
        <v>5</v>
      </c>
      <c r="C19" s="18" t="s">
        <v>92</v>
      </c>
      <c r="D19" s="18">
        <v>4589</v>
      </c>
      <c r="E19" s="18" t="s">
        <v>52</v>
      </c>
      <c r="F19" s="18" t="s">
        <v>51</v>
      </c>
      <c r="G19" s="17" t="s">
        <v>56</v>
      </c>
      <c r="H19" s="59">
        <v>12</v>
      </c>
      <c r="I19" s="19" t="s">
        <v>40</v>
      </c>
      <c r="J19" s="19">
        <v>12</v>
      </c>
      <c r="K19" s="19">
        <v>12</v>
      </c>
      <c r="L19" s="19">
        <v>12</v>
      </c>
      <c r="M19" s="19">
        <v>12</v>
      </c>
      <c r="N19" s="19">
        <v>12</v>
      </c>
      <c r="O19" s="19">
        <v>12</v>
      </c>
      <c r="P19" s="19" t="s">
        <v>40</v>
      </c>
      <c r="Q19" s="19">
        <v>12</v>
      </c>
      <c r="R19" s="19">
        <v>12</v>
      </c>
      <c r="S19" s="19">
        <v>12</v>
      </c>
      <c r="T19" s="19">
        <v>12</v>
      </c>
      <c r="U19" s="19">
        <v>12</v>
      </c>
      <c r="V19" s="19">
        <v>12</v>
      </c>
      <c r="W19" s="60">
        <v>12</v>
      </c>
      <c r="X19" s="50" cm="1">
        <f t="array" ref="X19">SUMPRODUCT(--ISNUMBER(H19:W19), --($H$14:$W$14&lt;&gt;"LH"), --($H$14:$W$14&lt;&gt;"SH"))</f>
        <v>11</v>
      </c>
      <c r="Y19" s="19">
        <f t="shared" si="3"/>
        <v>88</v>
      </c>
      <c r="Z19" s="19"/>
      <c r="AA19" s="19">
        <f t="shared" si="4"/>
        <v>44</v>
      </c>
      <c r="AB19" s="19">
        <f t="shared" ref="AB19:AB46" si="6">SUMIF($H$14:$W$14,"LH",$H19:$W19)</f>
        <v>24</v>
      </c>
      <c r="AC19" s="19"/>
      <c r="AD19" s="19">
        <f t="shared" si="5"/>
        <v>12</v>
      </c>
      <c r="AE19" s="51"/>
    </row>
    <row r="20" spans="2:31" ht="24.95" customHeight="1">
      <c r="B20" s="16">
        <f t="shared" si="2"/>
        <v>6</v>
      </c>
      <c r="C20" s="18" t="s">
        <v>97</v>
      </c>
      <c r="D20" s="18">
        <v>4559</v>
      </c>
      <c r="E20" s="18" t="s">
        <v>52</v>
      </c>
      <c r="F20" s="18" t="s">
        <v>51</v>
      </c>
      <c r="G20" s="17" t="s">
        <v>56</v>
      </c>
      <c r="H20" s="59">
        <v>12</v>
      </c>
      <c r="I20" s="59">
        <v>12</v>
      </c>
      <c r="J20" s="19" t="s">
        <v>40</v>
      </c>
      <c r="K20" s="19">
        <v>12</v>
      </c>
      <c r="L20" s="19">
        <v>12</v>
      </c>
      <c r="M20" s="19">
        <v>12</v>
      </c>
      <c r="N20" s="19">
        <v>12</v>
      </c>
      <c r="O20" s="19">
        <v>12</v>
      </c>
      <c r="P20" s="19">
        <v>12</v>
      </c>
      <c r="Q20" s="19" t="s">
        <v>40</v>
      </c>
      <c r="R20" s="19">
        <v>12</v>
      </c>
      <c r="S20" s="19">
        <v>12</v>
      </c>
      <c r="T20" s="19">
        <v>12</v>
      </c>
      <c r="U20" s="19">
        <v>12</v>
      </c>
      <c r="V20" s="19">
        <v>12</v>
      </c>
      <c r="W20" s="60">
        <v>12</v>
      </c>
      <c r="X20" s="50" cm="1">
        <f t="array" ref="X20">SUMPRODUCT(--ISNUMBER(H20:W20), --($H$14:$W$14&lt;&gt;"LH"), --($H$14:$W$14&lt;&gt;"SH"))</f>
        <v>11</v>
      </c>
      <c r="Y20" s="19">
        <f t="shared" si="3"/>
        <v>88</v>
      </c>
      <c r="Z20" s="19"/>
      <c r="AA20" s="19">
        <f t="shared" si="4"/>
        <v>44</v>
      </c>
      <c r="AB20" s="19">
        <f t="shared" si="6"/>
        <v>12</v>
      </c>
      <c r="AC20" s="19"/>
      <c r="AD20" s="19">
        <f t="shared" si="5"/>
        <v>24</v>
      </c>
      <c r="AE20" s="51"/>
    </row>
    <row r="21" spans="2:31" ht="24.95" customHeight="1">
      <c r="B21" s="16">
        <f t="shared" si="2"/>
        <v>7</v>
      </c>
      <c r="C21" s="18" t="s">
        <v>69</v>
      </c>
      <c r="D21" s="18">
        <v>4440</v>
      </c>
      <c r="E21" s="18" t="s">
        <v>52</v>
      </c>
      <c r="F21" s="18" t="s">
        <v>51</v>
      </c>
      <c r="G21" s="17" t="s">
        <v>56</v>
      </c>
      <c r="H21" s="59">
        <v>12</v>
      </c>
      <c r="I21" s="59">
        <v>12</v>
      </c>
      <c r="J21" s="59">
        <v>12</v>
      </c>
      <c r="K21" s="19" t="s">
        <v>40</v>
      </c>
      <c r="L21" s="19">
        <v>12</v>
      </c>
      <c r="M21" s="19">
        <v>12</v>
      </c>
      <c r="N21" s="19">
        <v>12</v>
      </c>
      <c r="O21" s="19">
        <v>12</v>
      </c>
      <c r="P21" s="19">
        <v>12</v>
      </c>
      <c r="Q21" s="19">
        <v>12</v>
      </c>
      <c r="R21" s="19" t="s">
        <v>40</v>
      </c>
      <c r="S21" s="19">
        <v>12</v>
      </c>
      <c r="T21" s="19">
        <v>12</v>
      </c>
      <c r="U21" s="19">
        <v>12</v>
      </c>
      <c r="V21" s="19">
        <v>12</v>
      </c>
      <c r="W21" s="60" t="s">
        <v>40</v>
      </c>
      <c r="X21" s="50" cm="1">
        <f t="array" ref="X21">SUMPRODUCT(--ISNUMBER(H21:W21), --($H$14:$W$14&lt;&gt;"LH"), --($H$14:$W$14&lt;&gt;"SH"))</f>
        <v>10</v>
      </c>
      <c r="Y21" s="19">
        <f t="shared" si="3"/>
        <v>80</v>
      </c>
      <c r="Z21" s="19"/>
      <c r="AA21" s="19">
        <f t="shared" si="4"/>
        <v>40</v>
      </c>
      <c r="AB21" s="19">
        <f t="shared" si="6"/>
        <v>24</v>
      </c>
      <c r="AC21" s="19"/>
      <c r="AD21" s="19">
        <f t="shared" si="5"/>
        <v>12</v>
      </c>
      <c r="AE21" s="51"/>
    </row>
    <row r="22" spans="2:31" ht="24.95" customHeight="1">
      <c r="B22" s="16">
        <f t="shared" si="2"/>
        <v>8</v>
      </c>
      <c r="C22" s="18" t="s">
        <v>68</v>
      </c>
      <c r="D22" s="18">
        <v>4530</v>
      </c>
      <c r="E22" s="18" t="s">
        <v>70</v>
      </c>
      <c r="F22" s="18" t="s">
        <v>51</v>
      </c>
      <c r="G22" s="17" t="s">
        <v>56</v>
      </c>
      <c r="H22" s="59">
        <v>12</v>
      </c>
      <c r="I22" s="59">
        <v>12</v>
      </c>
      <c r="J22" s="59">
        <v>12</v>
      </c>
      <c r="K22" s="59">
        <v>12</v>
      </c>
      <c r="L22" s="59" t="s">
        <v>40</v>
      </c>
      <c r="M22" s="59">
        <v>12</v>
      </c>
      <c r="N22" s="59">
        <v>12</v>
      </c>
      <c r="O22" s="59">
        <v>12</v>
      </c>
      <c r="P22" s="59">
        <v>12</v>
      </c>
      <c r="Q22" s="59">
        <v>12</v>
      </c>
      <c r="R22" s="59">
        <v>12</v>
      </c>
      <c r="S22" s="19" t="s">
        <v>40</v>
      </c>
      <c r="T22" s="19">
        <v>12</v>
      </c>
      <c r="U22" s="19">
        <v>12</v>
      </c>
      <c r="V22" s="19">
        <v>12</v>
      </c>
      <c r="W22" s="60">
        <v>12</v>
      </c>
      <c r="X22" s="50" cm="1">
        <f t="array" ref="X22">SUMPRODUCT(--ISNUMBER(H22:W22), --($H$14:$W$14&lt;&gt;"LH"), --($H$14:$W$14&lt;&gt;"SH"))</f>
        <v>10</v>
      </c>
      <c r="Y22" s="19">
        <f t="shared" si="3"/>
        <v>80</v>
      </c>
      <c r="Z22" s="19"/>
      <c r="AA22" s="19">
        <f t="shared" si="4"/>
        <v>40</v>
      </c>
      <c r="AB22" s="19">
        <f t="shared" si="6"/>
        <v>24</v>
      </c>
      <c r="AC22" s="19"/>
      <c r="AD22" s="19">
        <f t="shared" si="5"/>
        <v>24</v>
      </c>
      <c r="AE22" s="65"/>
    </row>
    <row r="23" spans="2:31" ht="24.95" customHeight="1">
      <c r="B23" s="16">
        <f t="shared" si="2"/>
        <v>9</v>
      </c>
      <c r="C23" s="5" t="s">
        <v>98</v>
      </c>
      <c r="D23" s="18">
        <v>3873</v>
      </c>
      <c r="E23" s="18" t="s">
        <v>52</v>
      </c>
      <c r="F23" s="18" t="s">
        <v>60</v>
      </c>
      <c r="G23" s="17" t="s">
        <v>89</v>
      </c>
      <c r="H23" s="59">
        <v>12</v>
      </c>
      <c r="I23" s="59">
        <v>12</v>
      </c>
      <c r="J23" s="59">
        <v>12</v>
      </c>
      <c r="K23" s="59">
        <v>12</v>
      </c>
      <c r="L23" s="59">
        <v>12</v>
      </c>
      <c r="M23" s="59" t="s">
        <v>40</v>
      </c>
      <c r="N23" s="59">
        <v>12</v>
      </c>
      <c r="O23" s="59">
        <v>12</v>
      </c>
      <c r="P23" s="59">
        <v>12</v>
      </c>
      <c r="Q23" s="59">
        <v>12</v>
      </c>
      <c r="R23" s="59">
        <v>12</v>
      </c>
      <c r="S23" s="59">
        <v>12</v>
      </c>
      <c r="T23" s="19" t="s">
        <v>40</v>
      </c>
      <c r="U23" s="19">
        <v>12</v>
      </c>
      <c r="V23" s="19">
        <v>12</v>
      </c>
      <c r="W23" s="60">
        <v>12</v>
      </c>
      <c r="X23" s="50" cm="1">
        <f t="array" ref="X23">SUMPRODUCT(--ISNUMBER(H23:W23), --($H$14:$W$14&lt;&gt;"LH"), --($H$14:$W$14&lt;&gt;"SH"))</f>
        <v>10</v>
      </c>
      <c r="Y23" s="19">
        <f t="shared" si="3"/>
        <v>80</v>
      </c>
      <c r="Z23" s="19"/>
      <c r="AA23" s="19">
        <f t="shared" si="4"/>
        <v>40</v>
      </c>
      <c r="AB23" s="19">
        <f t="shared" si="6"/>
        <v>24</v>
      </c>
      <c r="AC23" s="19"/>
      <c r="AD23" s="19">
        <f t="shared" si="5"/>
        <v>24</v>
      </c>
      <c r="AE23" s="65">
        <v>80</v>
      </c>
    </row>
    <row r="24" spans="2:31" ht="24.95" customHeight="1">
      <c r="B24" s="16">
        <f t="shared" si="2"/>
        <v>10</v>
      </c>
      <c r="C24" s="18" t="s">
        <v>102</v>
      </c>
      <c r="D24" s="18">
        <v>4578</v>
      </c>
      <c r="E24" s="18" t="s">
        <v>52</v>
      </c>
      <c r="F24" s="18" t="s">
        <v>60</v>
      </c>
      <c r="G24" s="17" t="s">
        <v>89</v>
      </c>
      <c r="H24" s="59">
        <v>12</v>
      </c>
      <c r="I24" s="59">
        <v>12</v>
      </c>
      <c r="J24" s="59">
        <v>12</v>
      </c>
      <c r="K24" s="19">
        <v>12</v>
      </c>
      <c r="L24" s="19">
        <v>12</v>
      </c>
      <c r="M24" s="19">
        <v>12</v>
      </c>
      <c r="N24" s="19" t="s">
        <v>40</v>
      </c>
      <c r="O24" s="19">
        <v>12</v>
      </c>
      <c r="P24" s="19">
        <v>12</v>
      </c>
      <c r="Q24" s="19">
        <v>12</v>
      </c>
      <c r="R24" s="19">
        <v>12</v>
      </c>
      <c r="S24" s="19">
        <v>12</v>
      </c>
      <c r="T24" s="19">
        <v>12</v>
      </c>
      <c r="U24" s="19" t="s">
        <v>40</v>
      </c>
      <c r="V24" s="19">
        <v>12</v>
      </c>
      <c r="W24" s="60">
        <v>12</v>
      </c>
      <c r="X24" s="50" cm="1">
        <f t="array" ref="X24">SUMPRODUCT(--ISNUMBER(H24:W24), --($H$14:$W$14&lt;&gt;"LH"), --($H$14:$W$14&lt;&gt;"SH"))</f>
        <v>10</v>
      </c>
      <c r="Y24" s="19">
        <f t="shared" si="3"/>
        <v>80</v>
      </c>
      <c r="Z24" s="19"/>
      <c r="AA24" s="19">
        <f t="shared" si="4"/>
        <v>40</v>
      </c>
      <c r="AB24" s="19">
        <f t="shared" si="6"/>
        <v>24</v>
      </c>
      <c r="AC24" s="19"/>
      <c r="AD24" s="19">
        <f t="shared" si="5"/>
        <v>24</v>
      </c>
      <c r="AE24" s="65">
        <v>80</v>
      </c>
    </row>
    <row r="25" spans="2:31" ht="24.95" customHeight="1">
      <c r="B25" s="16">
        <f t="shared" si="2"/>
        <v>11</v>
      </c>
      <c r="C25" s="18" t="s">
        <v>99</v>
      </c>
      <c r="D25" s="18">
        <v>4488</v>
      </c>
      <c r="E25" s="18" t="s">
        <v>52</v>
      </c>
      <c r="F25" s="18" t="s">
        <v>60</v>
      </c>
      <c r="G25" s="17" t="s">
        <v>89</v>
      </c>
      <c r="H25" s="59" t="s">
        <v>40</v>
      </c>
      <c r="I25" s="59">
        <v>12</v>
      </c>
      <c r="J25" s="59">
        <v>12</v>
      </c>
      <c r="K25" s="19">
        <v>12</v>
      </c>
      <c r="L25" s="19">
        <v>12</v>
      </c>
      <c r="M25" s="19">
        <v>12</v>
      </c>
      <c r="N25" s="19">
        <v>12</v>
      </c>
      <c r="O25" s="19" t="s">
        <v>40</v>
      </c>
      <c r="P25" s="19">
        <v>12</v>
      </c>
      <c r="Q25" s="19">
        <v>12</v>
      </c>
      <c r="R25" s="19">
        <v>12</v>
      </c>
      <c r="S25" s="19">
        <v>12</v>
      </c>
      <c r="T25" s="19">
        <v>12</v>
      </c>
      <c r="U25" s="19">
        <v>12</v>
      </c>
      <c r="V25" s="19" t="s">
        <v>40</v>
      </c>
      <c r="W25" s="60">
        <v>12</v>
      </c>
      <c r="X25" s="50" cm="1">
        <f t="array" ref="X25">SUMPRODUCT(--ISNUMBER(H25:W25), --($H$14:$W$14&lt;&gt;"LH"), --($H$14:$W$14&lt;&gt;"SH"))</f>
        <v>10</v>
      </c>
      <c r="Y25" s="19">
        <f t="shared" si="3"/>
        <v>80</v>
      </c>
      <c r="Z25" s="19"/>
      <c r="AA25" s="19">
        <f t="shared" si="4"/>
        <v>40</v>
      </c>
      <c r="AB25" s="19">
        <f t="shared" si="6"/>
        <v>12</v>
      </c>
      <c r="AC25" s="19"/>
      <c r="AD25" s="19">
        <f t="shared" si="5"/>
        <v>24</v>
      </c>
      <c r="AE25" s="65">
        <v>80</v>
      </c>
    </row>
    <row r="26" spans="2:31" ht="24.95" customHeight="1">
      <c r="B26" s="16">
        <f t="shared" si="2"/>
        <v>12</v>
      </c>
      <c r="C26" s="18" t="s">
        <v>100</v>
      </c>
      <c r="D26" s="18">
        <v>4585</v>
      </c>
      <c r="E26" s="18" t="s">
        <v>52</v>
      </c>
      <c r="F26" s="18" t="s">
        <v>60</v>
      </c>
      <c r="G26" s="17" t="s">
        <v>89</v>
      </c>
      <c r="H26" s="59">
        <v>12</v>
      </c>
      <c r="I26" s="19" t="s">
        <v>40</v>
      </c>
      <c r="J26" s="59">
        <v>12</v>
      </c>
      <c r="K26" s="19">
        <v>12</v>
      </c>
      <c r="L26" s="19">
        <v>12</v>
      </c>
      <c r="M26" s="19">
        <v>12</v>
      </c>
      <c r="N26" s="19">
        <v>12</v>
      </c>
      <c r="O26" s="19">
        <v>12</v>
      </c>
      <c r="P26" s="19" t="s">
        <v>40</v>
      </c>
      <c r="Q26" s="19">
        <v>12</v>
      </c>
      <c r="R26" s="19">
        <v>12</v>
      </c>
      <c r="S26" s="19">
        <v>12</v>
      </c>
      <c r="T26" s="19">
        <v>12</v>
      </c>
      <c r="U26" s="19">
        <v>12</v>
      </c>
      <c r="V26" s="19">
        <v>12</v>
      </c>
      <c r="W26" s="60">
        <v>12</v>
      </c>
      <c r="X26" s="50" cm="1">
        <f t="array" ref="X26">SUMPRODUCT(--ISNUMBER(H26:W26), --($H$14:$W$14&lt;&gt;"LH"), --($H$14:$W$14&lt;&gt;"SH"))</f>
        <v>11</v>
      </c>
      <c r="Y26" s="19">
        <f t="shared" si="3"/>
        <v>88</v>
      </c>
      <c r="Z26" s="19"/>
      <c r="AA26" s="19">
        <f t="shared" si="4"/>
        <v>44</v>
      </c>
      <c r="AB26" s="19">
        <f t="shared" si="6"/>
        <v>24</v>
      </c>
      <c r="AC26" s="19"/>
      <c r="AD26" s="19">
        <f t="shared" si="5"/>
        <v>12</v>
      </c>
      <c r="AE26" s="65">
        <v>88</v>
      </c>
    </row>
    <row r="27" spans="2:31" ht="24.95" customHeight="1">
      <c r="B27" s="16">
        <f t="shared" si="2"/>
        <v>13</v>
      </c>
      <c r="C27" s="18" t="s">
        <v>101</v>
      </c>
      <c r="D27" s="18">
        <v>4566</v>
      </c>
      <c r="E27" s="18" t="s">
        <v>52</v>
      </c>
      <c r="F27" s="18" t="s">
        <v>60</v>
      </c>
      <c r="G27" s="17" t="s">
        <v>89</v>
      </c>
      <c r="H27" s="59">
        <v>12</v>
      </c>
      <c r="I27" s="19">
        <v>12</v>
      </c>
      <c r="J27" s="19" t="s">
        <v>40</v>
      </c>
      <c r="K27" s="19">
        <v>12</v>
      </c>
      <c r="L27" s="19">
        <v>12</v>
      </c>
      <c r="M27" s="19">
        <v>12</v>
      </c>
      <c r="N27" s="19">
        <v>12</v>
      </c>
      <c r="O27" s="19">
        <v>12</v>
      </c>
      <c r="P27" s="19">
        <v>12</v>
      </c>
      <c r="Q27" s="19" t="s">
        <v>40</v>
      </c>
      <c r="R27" s="19">
        <v>12</v>
      </c>
      <c r="S27" s="19">
        <v>12</v>
      </c>
      <c r="T27" s="19">
        <v>12</v>
      </c>
      <c r="U27" s="19">
        <v>12</v>
      </c>
      <c r="V27" s="19">
        <v>12</v>
      </c>
      <c r="W27" s="60">
        <v>12</v>
      </c>
      <c r="X27" s="50" cm="1">
        <f t="array" ref="X27">SUMPRODUCT(--ISNUMBER(H27:W27), --($H$14:$W$14&lt;&gt;"LH"), --($H$14:$W$14&lt;&gt;"SH"))</f>
        <v>11</v>
      </c>
      <c r="Y27" s="19">
        <f t="shared" si="3"/>
        <v>88</v>
      </c>
      <c r="Z27" s="19"/>
      <c r="AA27" s="19">
        <f t="shared" si="4"/>
        <v>44</v>
      </c>
      <c r="AB27" s="19">
        <f t="shared" si="6"/>
        <v>12</v>
      </c>
      <c r="AC27" s="19"/>
      <c r="AD27" s="19">
        <f t="shared" si="5"/>
        <v>24</v>
      </c>
      <c r="AE27" s="65">
        <v>88</v>
      </c>
    </row>
    <row r="28" spans="2:31" ht="24.95" customHeight="1">
      <c r="B28" s="16">
        <f t="shared" si="2"/>
        <v>14</v>
      </c>
      <c r="C28" s="18" t="s">
        <v>62</v>
      </c>
      <c r="D28" s="18">
        <v>4114</v>
      </c>
      <c r="E28" s="18" t="s">
        <v>52</v>
      </c>
      <c r="F28" s="18" t="s">
        <v>60</v>
      </c>
      <c r="G28" s="17" t="s">
        <v>89</v>
      </c>
      <c r="H28" s="59">
        <v>12</v>
      </c>
      <c r="I28" s="19">
        <v>12</v>
      </c>
      <c r="J28" s="19">
        <v>12</v>
      </c>
      <c r="K28" s="19" t="s">
        <v>40</v>
      </c>
      <c r="L28" s="19">
        <v>12</v>
      </c>
      <c r="M28" s="19">
        <v>12</v>
      </c>
      <c r="N28" s="19">
        <v>12</v>
      </c>
      <c r="O28" s="19">
        <v>12</v>
      </c>
      <c r="P28" s="19">
        <v>12</v>
      </c>
      <c r="Q28" s="19">
        <v>12</v>
      </c>
      <c r="R28" s="19" t="s">
        <v>40</v>
      </c>
      <c r="S28" s="19">
        <v>12</v>
      </c>
      <c r="T28" s="19">
        <v>12</v>
      </c>
      <c r="U28" s="19">
        <v>12</v>
      </c>
      <c r="V28" s="19">
        <v>12</v>
      </c>
      <c r="W28" s="60" t="s">
        <v>40</v>
      </c>
      <c r="X28" s="50" cm="1">
        <f t="array" ref="X28">SUMPRODUCT(--ISNUMBER(H28:W28), --($H$14:$W$14&lt;&gt;"LH"), --($H$14:$W$14&lt;&gt;"SH"))</f>
        <v>10</v>
      </c>
      <c r="Y28" s="19">
        <f t="shared" si="3"/>
        <v>80</v>
      </c>
      <c r="Z28" s="19"/>
      <c r="AA28" s="19">
        <f t="shared" si="4"/>
        <v>40</v>
      </c>
      <c r="AB28" s="19">
        <f t="shared" si="6"/>
        <v>24</v>
      </c>
      <c r="AC28" s="19"/>
      <c r="AD28" s="19">
        <f t="shared" si="5"/>
        <v>12</v>
      </c>
      <c r="AE28" s="65">
        <v>80</v>
      </c>
    </row>
    <row r="29" spans="2:31" ht="24.95" customHeight="1">
      <c r="B29" s="16">
        <f t="shared" si="2"/>
        <v>15</v>
      </c>
      <c r="C29" s="18" t="s">
        <v>103</v>
      </c>
      <c r="D29" s="18">
        <v>4588</v>
      </c>
      <c r="E29" s="18" t="s">
        <v>52</v>
      </c>
      <c r="F29" s="18" t="s">
        <v>60</v>
      </c>
      <c r="G29" s="17" t="s">
        <v>89</v>
      </c>
      <c r="H29" s="59">
        <v>12</v>
      </c>
      <c r="I29" s="19">
        <v>12</v>
      </c>
      <c r="J29" s="19">
        <v>12</v>
      </c>
      <c r="K29" s="19">
        <v>12</v>
      </c>
      <c r="L29" s="19" t="s">
        <v>40</v>
      </c>
      <c r="M29" s="19">
        <v>12</v>
      </c>
      <c r="N29" s="19">
        <v>12</v>
      </c>
      <c r="O29" s="19">
        <v>12</v>
      </c>
      <c r="P29" s="19">
        <v>12</v>
      </c>
      <c r="Q29" s="19">
        <v>12</v>
      </c>
      <c r="R29" s="19">
        <v>12</v>
      </c>
      <c r="S29" s="19" t="s">
        <v>40</v>
      </c>
      <c r="T29" s="19">
        <v>12</v>
      </c>
      <c r="U29" s="19">
        <v>12</v>
      </c>
      <c r="V29" s="19">
        <v>12</v>
      </c>
      <c r="W29" s="60">
        <v>12</v>
      </c>
      <c r="X29" s="50" cm="1">
        <f t="array" ref="X29">SUMPRODUCT(--ISNUMBER(H29:W29), --($H$14:$W$14&lt;&gt;"LH"), --($H$14:$W$14&lt;&gt;"SH"))</f>
        <v>10</v>
      </c>
      <c r="Y29" s="19">
        <f t="shared" si="3"/>
        <v>80</v>
      </c>
      <c r="Z29" s="19"/>
      <c r="AA29" s="19">
        <f t="shared" si="4"/>
        <v>40</v>
      </c>
      <c r="AB29" s="19">
        <f t="shared" si="6"/>
        <v>24</v>
      </c>
      <c r="AC29" s="19"/>
      <c r="AD29" s="19">
        <f t="shared" si="5"/>
        <v>24</v>
      </c>
      <c r="AE29" s="65">
        <v>80</v>
      </c>
    </row>
    <row r="30" spans="2:31" ht="24.95" customHeight="1">
      <c r="B30" s="16">
        <f t="shared" si="2"/>
        <v>16</v>
      </c>
      <c r="C30" s="18" t="s">
        <v>71</v>
      </c>
      <c r="D30" s="18">
        <v>1569</v>
      </c>
      <c r="E30" s="18" t="s">
        <v>70</v>
      </c>
      <c r="F30" s="18" t="s">
        <v>60</v>
      </c>
      <c r="G30" s="17" t="s">
        <v>89</v>
      </c>
      <c r="H30" s="59">
        <v>12</v>
      </c>
      <c r="I30" s="19">
        <v>12</v>
      </c>
      <c r="J30" s="19">
        <v>12</v>
      </c>
      <c r="K30" s="19">
        <v>12</v>
      </c>
      <c r="L30" s="19">
        <v>12</v>
      </c>
      <c r="M30" s="19" t="s">
        <v>40</v>
      </c>
      <c r="N30" s="19">
        <v>12</v>
      </c>
      <c r="O30" s="19">
        <v>12</v>
      </c>
      <c r="P30" s="19">
        <v>12</v>
      </c>
      <c r="Q30" s="19">
        <v>12</v>
      </c>
      <c r="R30" s="19">
        <v>12</v>
      </c>
      <c r="S30" s="19">
        <v>12</v>
      </c>
      <c r="T30" s="19" t="s">
        <v>40</v>
      </c>
      <c r="U30" s="19">
        <v>12</v>
      </c>
      <c r="V30" s="19">
        <v>12</v>
      </c>
      <c r="W30" s="60">
        <v>12</v>
      </c>
      <c r="X30" s="50" cm="1">
        <f t="array" ref="X30">SUMPRODUCT(--ISNUMBER(H30:W30), --($H$14:$W$14&lt;&gt;"LH"), --($H$14:$W$14&lt;&gt;"SH"))</f>
        <v>10</v>
      </c>
      <c r="Y30" s="19">
        <f t="shared" si="3"/>
        <v>80</v>
      </c>
      <c r="Z30" s="19"/>
      <c r="AA30" s="19">
        <f t="shared" si="4"/>
        <v>40</v>
      </c>
      <c r="AB30" s="19">
        <f t="shared" si="6"/>
        <v>24</v>
      </c>
      <c r="AC30" s="19"/>
      <c r="AD30" s="19">
        <f t="shared" si="5"/>
        <v>24</v>
      </c>
      <c r="AE30" s="65">
        <v>80</v>
      </c>
    </row>
    <row r="31" spans="2:31" ht="24.95" customHeight="1">
      <c r="B31" s="16">
        <f t="shared" si="2"/>
        <v>17</v>
      </c>
      <c r="C31" s="66" t="s">
        <v>90</v>
      </c>
      <c r="D31" s="18"/>
      <c r="E31" s="18"/>
      <c r="F31" s="18"/>
      <c r="G31" s="17"/>
      <c r="H31" s="5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60"/>
      <c r="X31" s="50" cm="1">
        <f t="array" ref="X31">SUMPRODUCT(--ISNUMBER(H31:W31), --($H$14:$W$14&lt;&gt;"LH"), --($H$14:$W$14&lt;&gt;"SH"))</f>
        <v>0</v>
      </c>
      <c r="Y31" s="19">
        <f t="shared" si="3"/>
        <v>0</v>
      </c>
      <c r="Z31" s="19"/>
      <c r="AA31" s="19">
        <f t="shared" si="4"/>
        <v>0</v>
      </c>
      <c r="AB31" s="19">
        <f t="shared" si="6"/>
        <v>0</v>
      </c>
      <c r="AC31" s="19"/>
      <c r="AD31" s="19">
        <f t="shared" si="5"/>
        <v>0</v>
      </c>
      <c r="AE31" s="65"/>
    </row>
    <row r="32" spans="2:31" ht="24.95" customHeight="1">
      <c r="B32" s="16">
        <f t="shared" si="2"/>
        <v>18</v>
      </c>
      <c r="C32" s="18"/>
      <c r="D32" s="18"/>
      <c r="E32" s="18"/>
      <c r="F32" s="18"/>
      <c r="G32" s="17"/>
      <c r="H32" s="5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60"/>
      <c r="X32" s="50" cm="1">
        <f t="array" ref="X32">SUMPRODUCT(--ISNUMBER(H32:W32), --($H$14:$W$14&lt;&gt;"LH"), --($H$14:$W$14&lt;&gt;"SH"))</f>
        <v>0</v>
      </c>
      <c r="Y32" s="19">
        <f t="shared" si="3"/>
        <v>0</v>
      </c>
      <c r="Z32" s="19"/>
      <c r="AA32" s="19">
        <f t="shared" si="4"/>
        <v>0</v>
      </c>
      <c r="AB32" s="19">
        <f t="shared" si="6"/>
        <v>0</v>
      </c>
      <c r="AC32" s="19"/>
      <c r="AD32" s="19">
        <f t="shared" si="5"/>
        <v>0</v>
      </c>
      <c r="AE32" s="65"/>
    </row>
    <row r="33" spans="2:31" ht="24.95" customHeight="1">
      <c r="B33" s="16">
        <f t="shared" si="2"/>
        <v>19</v>
      </c>
      <c r="C33" s="18"/>
      <c r="D33" s="18"/>
      <c r="E33" s="18"/>
      <c r="F33" s="18"/>
      <c r="G33" s="17"/>
      <c r="H33" s="5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60"/>
      <c r="X33" s="50" cm="1">
        <f t="array" ref="X33">SUMPRODUCT(--ISNUMBER(H33:W33), --($H$14:$W$14&lt;&gt;"LH"), --($H$14:$W$14&lt;&gt;"SH"))</f>
        <v>0</v>
      </c>
      <c r="Y33" s="19">
        <f t="shared" si="3"/>
        <v>0</v>
      </c>
      <c r="Z33" s="19"/>
      <c r="AA33" s="19">
        <f t="shared" si="4"/>
        <v>0</v>
      </c>
      <c r="AB33" s="19">
        <f t="shared" si="6"/>
        <v>0</v>
      </c>
      <c r="AC33" s="19"/>
      <c r="AD33" s="19">
        <f t="shared" si="5"/>
        <v>0</v>
      </c>
      <c r="AE33" s="65"/>
    </row>
    <row r="34" spans="2:31" ht="24.95" customHeight="1">
      <c r="B34" s="16">
        <f t="shared" si="2"/>
        <v>20</v>
      </c>
      <c r="C34" s="18"/>
      <c r="D34" s="18"/>
      <c r="E34" s="18"/>
      <c r="F34" s="18"/>
      <c r="G34" s="17"/>
      <c r="H34" s="5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60"/>
      <c r="X34" s="50" cm="1">
        <f t="array" ref="X34">SUMPRODUCT(--ISNUMBER(H34:W34), --($H$14:$W$14&lt;&gt;"LH"), --($H$14:$W$14&lt;&gt;"SH"))</f>
        <v>0</v>
      </c>
      <c r="Y34" s="19">
        <f t="shared" si="3"/>
        <v>0</v>
      </c>
      <c r="Z34" s="19"/>
      <c r="AA34" s="19">
        <f t="shared" si="4"/>
        <v>0</v>
      </c>
      <c r="AB34" s="19">
        <f t="shared" si="6"/>
        <v>0</v>
      </c>
      <c r="AC34" s="19"/>
      <c r="AD34" s="19">
        <f t="shared" si="5"/>
        <v>0</v>
      </c>
      <c r="AE34" s="65"/>
    </row>
    <row r="35" spans="2:31" ht="24.95" customHeight="1">
      <c r="B35" s="16">
        <f t="shared" si="2"/>
        <v>21</v>
      </c>
      <c r="C35" s="18"/>
      <c r="D35" s="18"/>
      <c r="E35" s="18"/>
      <c r="F35" s="18"/>
      <c r="G35" s="17"/>
      <c r="H35" s="5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60"/>
      <c r="X35" s="50" cm="1">
        <f t="array" ref="X35">SUMPRODUCT(--ISNUMBER(H35:W35), --($H$14:$W$14&lt;&gt;"LH"), --($H$14:$W$14&lt;&gt;"SH"))</f>
        <v>0</v>
      </c>
      <c r="Y35" s="19">
        <f t="shared" si="3"/>
        <v>0</v>
      </c>
      <c r="Z35" s="19"/>
      <c r="AA35" s="19">
        <f t="shared" si="4"/>
        <v>0</v>
      </c>
      <c r="AB35" s="19">
        <f t="shared" si="6"/>
        <v>0</v>
      </c>
      <c r="AC35" s="19"/>
      <c r="AD35" s="19">
        <f t="shared" si="5"/>
        <v>0</v>
      </c>
      <c r="AE35" s="65"/>
    </row>
    <row r="36" spans="2:31" ht="24.95" customHeight="1">
      <c r="B36" s="16">
        <f t="shared" si="2"/>
        <v>22</v>
      </c>
      <c r="C36" s="18"/>
      <c r="D36" s="18"/>
      <c r="E36" s="18"/>
      <c r="F36" s="18"/>
      <c r="G36" s="17"/>
      <c r="H36" s="5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60"/>
      <c r="X36" s="50" cm="1">
        <f t="array" ref="X36">SUMPRODUCT(--ISNUMBER(H36:W36), --($H$14:$W$14&lt;&gt;"LH"), --($H$14:$W$14&lt;&gt;"SH"))</f>
        <v>0</v>
      </c>
      <c r="Y36" s="19">
        <f t="shared" si="3"/>
        <v>0</v>
      </c>
      <c r="Z36" s="19"/>
      <c r="AA36" s="19">
        <f t="shared" si="4"/>
        <v>0</v>
      </c>
      <c r="AB36" s="19">
        <f t="shared" si="6"/>
        <v>0</v>
      </c>
      <c r="AC36" s="19"/>
      <c r="AD36" s="19">
        <f t="shared" si="5"/>
        <v>0</v>
      </c>
      <c r="AE36" s="65"/>
    </row>
    <row r="37" spans="2:31" ht="24.95" customHeight="1">
      <c r="B37" s="16">
        <f t="shared" si="2"/>
        <v>23</v>
      </c>
      <c r="C37" s="18"/>
      <c r="D37" s="18"/>
      <c r="E37" s="18"/>
      <c r="F37" s="18"/>
      <c r="G37" s="17"/>
      <c r="H37" s="5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60"/>
      <c r="X37" s="50" cm="1">
        <f t="array" ref="X37">SUMPRODUCT(--ISNUMBER(H37:W37), --($H$14:$W$14&lt;&gt;"LH"), --($H$14:$W$14&lt;&gt;"SH"))</f>
        <v>0</v>
      </c>
      <c r="Y37" s="19">
        <f t="shared" si="3"/>
        <v>0</v>
      </c>
      <c r="Z37" s="19"/>
      <c r="AA37" s="19">
        <f t="shared" si="4"/>
        <v>0</v>
      </c>
      <c r="AB37" s="19">
        <f t="shared" si="6"/>
        <v>0</v>
      </c>
      <c r="AC37" s="19"/>
      <c r="AD37" s="19">
        <f t="shared" si="5"/>
        <v>0</v>
      </c>
      <c r="AE37" s="65"/>
    </row>
    <row r="38" spans="2:31" ht="24.95" customHeight="1">
      <c r="B38" s="16">
        <f t="shared" si="2"/>
        <v>24</v>
      </c>
      <c r="C38" s="18"/>
      <c r="D38" s="18"/>
      <c r="E38" s="18"/>
      <c r="F38" s="18"/>
      <c r="G38" s="17"/>
      <c r="H38" s="5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60"/>
      <c r="X38" s="50" cm="1">
        <f t="array" ref="X38">SUMPRODUCT(--ISNUMBER(H38:W38), --($H$14:$W$14&lt;&gt;"LH"), --($H$14:$W$14&lt;&gt;"SH"))</f>
        <v>0</v>
      </c>
      <c r="Y38" s="19">
        <f t="shared" si="3"/>
        <v>0</v>
      </c>
      <c r="Z38" s="19"/>
      <c r="AA38" s="19">
        <f t="shared" si="4"/>
        <v>0</v>
      </c>
      <c r="AB38" s="19">
        <f t="shared" si="6"/>
        <v>0</v>
      </c>
      <c r="AC38" s="19"/>
      <c r="AD38" s="19">
        <f t="shared" si="5"/>
        <v>0</v>
      </c>
      <c r="AE38" s="65"/>
    </row>
    <row r="39" spans="2:31" ht="24.95" customHeight="1">
      <c r="B39" s="16">
        <f t="shared" si="2"/>
        <v>25</v>
      </c>
      <c r="C39" s="18"/>
      <c r="D39" s="18"/>
      <c r="E39" s="18"/>
      <c r="F39" s="18"/>
      <c r="G39" s="17"/>
      <c r="H39" s="5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60"/>
      <c r="X39" s="50" cm="1">
        <f t="array" ref="X39">SUMPRODUCT(--ISNUMBER(H39:W39), --($H$14:$W$14&lt;&gt;"LH"), --($H$14:$W$14&lt;&gt;"SH"))</f>
        <v>0</v>
      </c>
      <c r="Y39" s="19">
        <f t="shared" si="3"/>
        <v>0</v>
      </c>
      <c r="Z39" s="19"/>
      <c r="AA39" s="19">
        <f t="shared" si="4"/>
        <v>0</v>
      </c>
      <c r="AB39" s="19">
        <f t="shared" si="6"/>
        <v>0</v>
      </c>
      <c r="AC39" s="19"/>
      <c r="AD39" s="19">
        <f t="shared" si="5"/>
        <v>0</v>
      </c>
      <c r="AE39" s="65"/>
    </row>
    <row r="40" spans="2:31" ht="24.95" customHeight="1">
      <c r="B40" s="16">
        <f t="shared" si="2"/>
        <v>26</v>
      </c>
      <c r="C40" s="18"/>
      <c r="D40" s="18"/>
      <c r="E40" s="18"/>
      <c r="F40" s="18"/>
      <c r="G40" s="17"/>
      <c r="H40" s="5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60"/>
      <c r="X40" s="50" cm="1">
        <f t="array" ref="X40">SUMPRODUCT(--ISNUMBER(H40:W40), --($H$14:$W$14&lt;&gt;"LH"), --($H$14:$W$14&lt;&gt;"SH"))</f>
        <v>0</v>
      </c>
      <c r="Y40" s="19">
        <f t="shared" si="3"/>
        <v>0</v>
      </c>
      <c r="Z40" s="19"/>
      <c r="AA40" s="19">
        <f t="shared" si="4"/>
        <v>0</v>
      </c>
      <c r="AB40" s="19">
        <f t="shared" si="6"/>
        <v>0</v>
      </c>
      <c r="AC40" s="19"/>
      <c r="AD40" s="19">
        <f t="shared" si="5"/>
        <v>0</v>
      </c>
      <c r="AE40" s="65"/>
    </row>
    <row r="41" spans="2:31" ht="24.95" customHeight="1">
      <c r="B41" s="16">
        <f t="shared" si="2"/>
        <v>27</v>
      </c>
      <c r="C41" s="18"/>
      <c r="D41" s="18"/>
      <c r="E41" s="18"/>
      <c r="F41" s="18"/>
      <c r="G41" s="17"/>
      <c r="H41" s="5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60"/>
      <c r="X41" s="50" cm="1">
        <f t="array" ref="X41">SUMPRODUCT(--ISNUMBER(H41:W41), --($H$14:$W$14&lt;&gt;"LH"), --($H$14:$W$14&lt;&gt;"SH"))</f>
        <v>0</v>
      </c>
      <c r="Y41" s="19">
        <f t="shared" si="3"/>
        <v>0</v>
      </c>
      <c r="Z41" s="19"/>
      <c r="AA41" s="19">
        <f t="shared" si="4"/>
        <v>0</v>
      </c>
      <c r="AB41" s="19">
        <f t="shared" si="6"/>
        <v>0</v>
      </c>
      <c r="AC41" s="19"/>
      <c r="AD41" s="19">
        <f t="shared" si="5"/>
        <v>0</v>
      </c>
      <c r="AE41" s="65"/>
    </row>
    <row r="42" spans="2:31" ht="24.95" customHeight="1">
      <c r="B42" s="16">
        <f t="shared" si="2"/>
        <v>28</v>
      </c>
      <c r="C42" s="18"/>
      <c r="D42" s="18"/>
      <c r="E42" s="18"/>
      <c r="F42" s="18"/>
      <c r="G42" s="17"/>
      <c r="H42" s="5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60"/>
      <c r="X42" s="50" cm="1">
        <f t="array" ref="X42">SUMPRODUCT(--ISNUMBER(H42:W42), --($H$14:$W$14&lt;&gt;"LH"), --($H$14:$W$14&lt;&gt;"SH"))</f>
        <v>0</v>
      </c>
      <c r="Y42" s="19">
        <f t="shared" si="3"/>
        <v>0</v>
      </c>
      <c r="Z42" s="19"/>
      <c r="AA42" s="19">
        <f t="shared" si="4"/>
        <v>0</v>
      </c>
      <c r="AB42" s="19">
        <f t="shared" si="6"/>
        <v>0</v>
      </c>
      <c r="AC42" s="19"/>
      <c r="AD42" s="19">
        <f t="shared" si="5"/>
        <v>0</v>
      </c>
      <c r="AE42" s="65"/>
    </row>
    <row r="43" spans="2:31" ht="24.95" customHeight="1">
      <c r="B43" s="16">
        <f t="shared" si="2"/>
        <v>29</v>
      </c>
      <c r="C43" s="18"/>
      <c r="D43" s="18"/>
      <c r="E43" s="18"/>
      <c r="F43" s="18"/>
      <c r="G43" s="17"/>
      <c r="H43" s="5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60"/>
      <c r="X43" s="50" cm="1">
        <f t="array" ref="X43">SUMPRODUCT(--ISNUMBER(H43:W43), --($H$14:$W$14&lt;&gt;"LH"), --($H$14:$W$14&lt;&gt;"SH"))</f>
        <v>0</v>
      </c>
      <c r="Y43" s="19">
        <f t="shared" si="3"/>
        <v>0</v>
      </c>
      <c r="Z43" s="19"/>
      <c r="AA43" s="19">
        <f t="shared" si="4"/>
        <v>0</v>
      </c>
      <c r="AB43" s="19">
        <f t="shared" si="6"/>
        <v>0</v>
      </c>
      <c r="AC43" s="19"/>
      <c r="AD43" s="19">
        <f t="shared" si="5"/>
        <v>0</v>
      </c>
      <c r="AE43" s="65"/>
    </row>
    <row r="44" spans="2:31" ht="24.95" customHeight="1">
      <c r="B44" s="16">
        <f t="shared" si="2"/>
        <v>30</v>
      </c>
      <c r="C44" s="18"/>
      <c r="D44" s="18"/>
      <c r="E44" s="18"/>
      <c r="F44" s="18"/>
      <c r="G44" s="17"/>
      <c r="H44" s="5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60"/>
      <c r="X44" s="50" cm="1">
        <f t="array" ref="X44">SUMPRODUCT(--ISNUMBER(H44:W44), --($H$14:$W$14&lt;&gt;"LH"), --($H$14:$W$14&lt;&gt;"SH"))</f>
        <v>0</v>
      </c>
      <c r="Y44" s="19">
        <f t="shared" si="3"/>
        <v>0</v>
      </c>
      <c r="Z44" s="19"/>
      <c r="AA44" s="19">
        <f t="shared" si="4"/>
        <v>0</v>
      </c>
      <c r="AB44" s="19">
        <f t="shared" si="6"/>
        <v>0</v>
      </c>
      <c r="AC44" s="19"/>
      <c r="AD44" s="19">
        <f t="shared" si="5"/>
        <v>0</v>
      </c>
      <c r="AE44" s="65"/>
    </row>
    <row r="45" spans="2:31" ht="24.95" customHeight="1">
      <c r="B45" s="16">
        <f t="shared" si="2"/>
        <v>31</v>
      </c>
      <c r="C45" s="18"/>
      <c r="D45" s="18"/>
      <c r="E45" s="18"/>
      <c r="F45" s="18"/>
      <c r="G45" s="17"/>
      <c r="H45" s="5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60"/>
      <c r="X45" s="50" cm="1">
        <f t="array" ref="X45">SUMPRODUCT(--ISNUMBER(H45:W45), --($H$14:$W$14&lt;&gt;"LH"), --($H$14:$W$14&lt;&gt;"SH"))</f>
        <v>0</v>
      </c>
      <c r="Y45" s="19">
        <f t="shared" si="3"/>
        <v>0</v>
      </c>
      <c r="Z45" s="19"/>
      <c r="AA45" s="19">
        <f t="shared" si="4"/>
        <v>0</v>
      </c>
      <c r="AB45" s="19">
        <f t="shared" si="6"/>
        <v>0</v>
      </c>
      <c r="AC45" s="19"/>
      <c r="AD45" s="19">
        <f t="shared" si="5"/>
        <v>0</v>
      </c>
      <c r="AE45" s="65"/>
    </row>
    <row r="46" spans="2:31" ht="24.95" customHeight="1">
      <c r="B46" s="16">
        <f t="shared" si="2"/>
        <v>32</v>
      </c>
      <c r="C46" s="18"/>
      <c r="D46" s="18"/>
      <c r="E46" s="18"/>
      <c r="F46" s="18"/>
      <c r="G46" s="17"/>
      <c r="H46" s="5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60"/>
      <c r="X46" s="50" cm="1">
        <f t="array" ref="X46">SUMPRODUCT(--ISNUMBER(H46:W46), --($H$14:$W$14&lt;&gt;"LH"), --($H$14:$W$14&lt;&gt;"SH"))</f>
        <v>0</v>
      </c>
      <c r="Y46" s="19">
        <f t="shared" si="3"/>
        <v>0</v>
      </c>
      <c r="Z46" s="19"/>
      <c r="AA46" s="19">
        <f t="shared" si="4"/>
        <v>0</v>
      </c>
      <c r="AB46" s="19">
        <f t="shared" si="6"/>
        <v>0</v>
      </c>
      <c r="AC46" s="19"/>
      <c r="AD46" s="19">
        <f t="shared" si="5"/>
        <v>0</v>
      </c>
      <c r="AE46" s="65"/>
    </row>
    <row r="47" spans="2:31" ht="22.5" customHeight="1" thickBot="1">
      <c r="B47" s="19"/>
      <c r="C47" s="18"/>
      <c r="D47" s="18"/>
      <c r="E47" s="82" t="s">
        <v>54</v>
      </c>
      <c r="F47" s="83"/>
      <c r="G47" s="68">
        <f>SUM(H47:W47)</f>
        <v>220</v>
      </c>
      <c r="H47" s="61">
        <f t="shared" ref="H47:W47" si="7">COUNTA(H15:H46)-COUNTIF(H15:H46,"A")-COUNTIF(H15:H46,"D")-COUNTIF(H15:H46,"L")</f>
        <v>14</v>
      </c>
      <c r="I47" s="61">
        <f t="shared" si="7"/>
        <v>13</v>
      </c>
      <c r="J47" s="61">
        <f t="shared" si="7"/>
        <v>14</v>
      </c>
      <c r="K47" s="61">
        <f t="shared" si="7"/>
        <v>14</v>
      </c>
      <c r="L47" s="61">
        <f t="shared" si="7"/>
        <v>13</v>
      </c>
      <c r="M47" s="61">
        <f t="shared" si="7"/>
        <v>14</v>
      </c>
      <c r="N47" s="61">
        <f t="shared" si="7"/>
        <v>14</v>
      </c>
      <c r="O47" s="61">
        <f t="shared" si="7"/>
        <v>14</v>
      </c>
      <c r="P47" s="61">
        <f t="shared" si="7"/>
        <v>13</v>
      </c>
      <c r="Q47" s="61">
        <f t="shared" si="7"/>
        <v>14</v>
      </c>
      <c r="R47" s="61">
        <f t="shared" si="7"/>
        <v>14</v>
      </c>
      <c r="S47" s="61">
        <f t="shared" si="7"/>
        <v>13</v>
      </c>
      <c r="T47" s="61">
        <f t="shared" si="7"/>
        <v>14</v>
      </c>
      <c r="U47" s="61">
        <f t="shared" si="7"/>
        <v>14</v>
      </c>
      <c r="V47" s="61">
        <f t="shared" si="7"/>
        <v>14</v>
      </c>
      <c r="W47" s="61">
        <f t="shared" si="7"/>
        <v>14</v>
      </c>
      <c r="X47" s="46">
        <f t="shared" ref="X47:AE47" si="8">SUM(X15:X46)</f>
        <v>165</v>
      </c>
      <c r="Y47" s="47">
        <f t="shared" si="8"/>
        <v>1320</v>
      </c>
      <c r="Z47" s="47">
        <f t="shared" si="8"/>
        <v>0</v>
      </c>
      <c r="AA47" s="47">
        <f t="shared" si="8"/>
        <v>744</v>
      </c>
      <c r="AB47" s="47">
        <f t="shared" si="8"/>
        <v>252</v>
      </c>
      <c r="AC47" s="47">
        <f t="shared" si="8"/>
        <v>0</v>
      </c>
      <c r="AD47" s="47">
        <f t="shared" si="8"/>
        <v>324</v>
      </c>
      <c r="AE47" s="47">
        <f t="shared" si="8"/>
        <v>656</v>
      </c>
    </row>
    <row r="49" spans="2:31" ht="15.75">
      <c r="B49" s="20" t="s">
        <v>28</v>
      </c>
      <c r="H49" s="78" t="s">
        <v>33</v>
      </c>
      <c r="I49" s="78"/>
      <c r="J49" s="78"/>
      <c r="K49" s="78"/>
      <c r="R49" s="78" t="s">
        <v>34</v>
      </c>
      <c r="S49" s="78"/>
      <c r="T49" s="78"/>
      <c r="U49" s="78"/>
      <c r="Z49" s="4"/>
      <c r="AA49" s="1" t="s">
        <v>16</v>
      </c>
      <c r="AB49" s="41"/>
      <c r="AC49" s="2"/>
      <c r="AD49" s="38"/>
      <c r="AE49" s="4"/>
    </row>
    <row r="50" spans="2:31" ht="15.75">
      <c r="U50" s="3"/>
      <c r="Z50" s="38"/>
      <c r="AA50" s="24" t="s">
        <v>17</v>
      </c>
      <c r="AB50" s="42"/>
      <c r="AC50" s="6"/>
      <c r="AD50" s="38"/>
      <c r="AE50" s="3"/>
    </row>
    <row r="51" spans="2:31" ht="15.75">
      <c r="U51" s="3"/>
      <c r="Z51" s="38"/>
      <c r="AA51" s="24" t="s">
        <v>18</v>
      </c>
      <c r="AB51" s="42"/>
      <c r="AC51" s="6"/>
      <c r="AD51" s="38"/>
      <c r="AE51" s="3"/>
    </row>
    <row r="52" spans="2:31" ht="15.75">
      <c r="B52" s="79"/>
      <c r="C52" s="79"/>
      <c r="D52" s="79"/>
      <c r="E52" s="25"/>
      <c r="F52" s="25"/>
      <c r="G52" s="25"/>
      <c r="H52" s="79"/>
      <c r="I52" s="79"/>
      <c r="J52" s="79"/>
      <c r="K52" s="79"/>
      <c r="L52" s="79"/>
      <c r="M52" s="79"/>
      <c r="N52" s="79"/>
      <c r="O52" s="26"/>
      <c r="P52" s="26"/>
      <c r="Q52" s="26"/>
      <c r="R52" s="79" t="s">
        <v>95</v>
      </c>
      <c r="S52" s="79"/>
      <c r="T52" s="79"/>
      <c r="U52" s="79"/>
      <c r="V52" s="79"/>
      <c r="W52" s="79"/>
      <c r="X52" s="79"/>
      <c r="Z52" s="38"/>
      <c r="AA52" s="24" t="s">
        <v>19</v>
      </c>
      <c r="AB52" s="42"/>
      <c r="AC52" s="6"/>
      <c r="AD52" s="38"/>
      <c r="AE52" s="3"/>
    </row>
    <row r="53" spans="2:31" ht="15.75" customHeight="1">
      <c r="B53" s="81" t="s">
        <v>29</v>
      </c>
      <c r="C53" s="81"/>
      <c r="D53" s="81"/>
      <c r="H53" s="80" t="s">
        <v>30</v>
      </c>
      <c r="I53" s="80"/>
      <c r="J53" s="80"/>
      <c r="K53" s="80"/>
      <c r="L53" s="80"/>
      <c r="M53" s="80"/>
      <c r="N53" s="80"/>
      <c r="O53" s="13"/>
      <c r="P53" s="13"/>
      <c r="Q53" s="13"/>
      <c r="R53" s="80" t="s">
        <v>31</v>
      </c>
      <c r="S53" s="80"/>
      <c r="T53" s="80"/>
      <c r="U53" s="80"/>
      <c r="V53" s="80"/>
      <c r="W53" s="80"/>
      <c r="X53" s="80"/>
      <c r="Z53" s="38"/>
      <c r="AA53" s="24" t="s">
        <v>20</v>
      </c>
      <c r="AB53" s="7"/>
      <c r="AC53" s="38"/>
      <c r="AD53" s="38"/>
      <c r="AE53" s="3"/>
    </row>
    <row r="54" spans="2:31" ht="15.75">
      <c r="U54" s="3"/>
      <c r="Z54" s="38"/>
      <c r="AA54" s="24" t="s">
        <v>21</v>
      </c>
      <c r="AB54" s="42"/>
      <c r="AC54" s="6"/>
      <c r="AD54" s="38"/>
      <c r="AE54" s="3"/>
    </row>
    <row r="55" spans="2:31" ht="15.75">
      <c r="U55" s="3"/>
      <c r="Z55" s="38"/>
      <c r="AA55" s="24" t="s">
        <v>22</v>
      </c>
      <c r="AB55" s="42"/>
      <c r="AC55" s="6"/>
      <c r="AD55" s="38"/>
      <c r="AE55" s="3"/>
    </row>
    <row r="56" spans="2:31" ht="15.75">
      <c r="B56" s="21"/>
      <c r="C56" s="21"/>
      <c r="D56" s="21"/>
      <c r="E56" s="21"/>
      <c r="F56" s="21"/>
      <c r="G56" s="21"/>
      <c r="H56" s="21"/>
      <c r="I56" s="22"/>
      <c r="J56" s="22"/>
      <c r="K56" s="21"/>
      <c r="L56" s="21"/>
      <c r="M56" s="22"/>
      <c r="U56" s="7"/>
      <c r="Z56" s="38"/>
      <c r="AA56" s="24" t="s">
        <v>23</v>
      </c>
      <c r="AB56" s="7"/>
      <c r="AC56" s="38"/>
      <c r="AD56" s="38"/>
      <c r="AE56" s="3"/>
    </row>
    <row r="57" spans="2:31" ht="15.75">
      <c r="B57" s="21" t="s">
        <v>32</v>
      </c>
      <c r="C57" s="23"/>
      <c r="D57" s="23"/>
      <c r="E57" s="23"/>
      <c r="F57" s="23"/>
      <c r="G57" s="23"/>
      <c r="H57" s="23"/>
      <c r="I57" s="23"/>
      <c r="J57" s="24"/>
      <c r="K57" s="24"/>
      <c r="L57" s="23"/>
      <c r="M57" s="23"/>
      <c r="N57" s="22"/>
      <c r="O57" s="21"/>
      <c r="U57" s="3"/>
      <c r="Z57" s="38"/>
      <c r="AA57" s="24" t="s">
        <v>24</v>
      </c>
      <c r="AB57" s="7"/>
      <c r="AC57" s="38"/>
      <c r="AD57" s="38"/>
      <c r="AE57" s="3"/>
    </row>
    <row r="58" spans="2:31" ht="15.75">
      <c r="B58" s="22"/>
      <c r="C58" s="23"/>
      <c r="D58" s="24"/>
      <c r="E58" s="24"/>
      <c r="F58" s="24"/>
      <c r="G58" s="24"/>
      <c r="H58" s="24"/>
      <c r="I58" s="24"/>
      <c r="J58" s="24"/>
      <c r="K58" s="24"/>
      <c r="L58" s="23"/>
      <c r="M58" s="23"/>
      <c r="N58" s="22"/>
      <c r="O58" s="21"/>
      <c r="U58" s="3"/>
      <c r="Z58" s="38"/>
      <c r="AA58" s="24" t="s">
        <v>25</v>
      </c>
      <c r="AB58" s="7"/>
      <c r="AC58" s="38"/>
      <c r="AD58" s="38"/>
      <c r="AE58" s="3"/>
    </row>
    <row r="59" spans="2:31" ht="15.75">
      <c r="B59" s="22"/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2"/>
      <c r="O59" s="21"/>
      <c r="U59" s="3"/>
      <c r="Z59" s="38"/>
      <c r="AA59" s="40" t="s">
        <v>26</v>
      </c>
      <c r="AB59" s="43"/>
      <c r="AC59" s="39"/>
      <c r="AD59" s="38"/>
      <c r="AE59" s="3"/>
    </row>
    <row r="60" spans="2:31" ht="15.75">
      <c r="U60" s="3"/>
      <c r="Z60" s="39"/>
      <c r="AA60" s="40" t="s">
        <v>27</v>
      </c>
      <c r="AB60" s="43"/>
      <c r="AC60" s="39"/>
      <c r="AD60" s="39"/>
      <c r="AE60" s="9"/>
    </row>
    <row r="61" spans="2:31" ht="15.75">
      <c r="B61" s="20"/>
      <c r="C61" s="20"/>
      <c r="D61" s="20"/>
      <c r="E61" s="20"/>
      <c r="F61" s="20"/>
      <c r="G61" s="20"/>
      <c r="H61" s="20"/>
      <c r="I61" s="20"/>
      <c r="U61" s="8"/>
      <c r="Z61" s="39"/>
      <c r="AD61" s="39"/>
      <c r="AE61" s="9"/>
    </row>
    <row r="62" spans="2:31" ht="15.75">
      <c r="U62" s="8"/>
      <c r="Z62" s="39"/>
      <c r="AD62" s="39"/>
      <c r="AE62" s="9"/>
    </row>
  </sheetData>
  <sheetProtection insertRows="0"/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AE23:AE46 C31:AD46 C15:AE16 H22:H30 I22:I25 J22:J26 E17:AE22 E23:AD30 W16:W30">
    <cfRule type="containsBlanks" dxfId="53" priority="55">
      <formula>LEN(TRIM(C15))=0</formula>
    </cfRule>
  </conditionalFormatting>
  <conditionalFormatting sqref="H12:W12">
    <cfRule type="expression" priority="53">
      <formula>TEXT($D$9+COLUMN()-COLUMN($H$12),"ddd")="Sun"</formula>
    </cfRule>
    <cfRule type="expression" dxfId="52" priority="54">
      <formula>TEXT($D$9+COLUMN()-COLUMN($H$12),"ddd")="Sun"</formula>
    </cfRule>
  </conditionalFormatting>
  <conditionalFormatting sqref="H14:W14">
    <cfRule type="containsBlanks" dxfId="51" priority="31">
      <formula>LEN(TRIM(H14))=0</formula>
    </cfRule>
    <cfRule type="expression" dxfId="50" priority="32">
      <formula>EXACT(H14, "S")</formula>
    </cfRule>
    <cfRule type="expression" dxfId="49" priority="33">
      <formula>EXACT(H14, "R")</formula>
    </cfRule>
    <cfRule type="expression" dxfId="48" priority="34">
      <formula>EXACT(H14, "T")</formula>
    </cfRule>
    <cfRule type="containsText" dxfId="47" priority="35" operator="containsText" text="SH">
      <formula>NOT(ISERROR(SEARCH("SH",H14)))</formula>
    </cfRule>
    <cfRule type="expression" dxfId="46" priority="36">
      <formula>EXACT(H14, "RS")</formula>
    </cfRule>
    <cfRule type="containsText" dxfId="45" priority="37" operator="containsText" text="LH">
      <formula>NOT(ISERROR(SEARCH("LH",H14)))</formula>
    </cfRule>
    <cfRule type="expression" dxfId="44" priority="38">
      <formula>EXACT(H14, "LR")</formula>
    </cfRule>
    <cfRule type="expression" dxfId="43" priority="39">
      <formula>EXACT(H14, "L")</formula>
    </cfRule>
    <cfRule type="expression" dxfId="42" priority="40">
      <formula>EXACT(H14, "D")</formula>
    </cfRule>
    <cfRule type="expression" dxfId="41" priority="41">
      <formula>EXACT(H14, "A")</formula>
    </cfRule>
  </conditionalFormatting>
  <conditionalFormatting sqref="H15:W15 J16:O16 W16:W30">
    <cfRule type="containsBlanks" dxfId="40" priority="42">
      <formula>LEN(TRIM(H15))=0</formula>
    </cfRule>
  </conditionalFormatting>
  <conditionalFormatting sqref="H15:W46">
    <cfRule type="containsText" dxfId="39" priority="28" operator="containsText" text="12">
      <formula>NOT(ISERROR(SEARCH("12",H15)))</formula>
    </cfRule>
    <cfRule type="expression" dxfId="38" priority="29">
      <formula>H$14="LH"</formula>
    </cfRule>
    <cfRule type="expression" dxfId="37" priority="30" stopIfTrue="1">
      <formula>H$14="SH"</formula>
    </cfRule>
    <cfRule type="expression" dxfId="36" priority="43">
      <formula>EXACT(H15, "S")</formula>
    </cfRule>
    <cfRule type="expression" dxfId="35" priority="44">
      <formula>EXACT(H15, "R")</formula>
    </cfRule>
    <cfRule type="expression" dxfId="34" priority="45">
      <formula>EXACT(H15, "T")</formula>
    </cfRule>
    <cfRule type="containsText" dxfId="33" priority="46" operator="containsText" text="SH">
      <formula>NOT(ISERROR(SEARCH("SH",H15)))</formula>
    </cfRule>
    <cfRule type="expression" dxfId="32" priority="47">
      <formula>EXACT(H15, "RS")</formula>
    </cfRule>
    <cfRule type="containsText" dxfId="31" priority="48" operator="containsText" text="RH">
      <formula>NOT(ISERROR(SEARCH("RH",H15)))</formula>
    </cfRule>
    <cfRule type="expression" dxfId="30" priority="49">
      <formula>EXACT(H15, "LR")</formula>
    </cfRule>
    <cfRule type="expression" dxfId="29" priority="50">
      <formula>EXACT(H15, "L")</formula>
    </cfRule>
    <cfRule type="expression" dxfId="28" priority="51">
      <formula>EXACT(H15, "D")</formula>
    </cfRule>
    <cfRule type="expression" dxfId="27" priority="52">
      <formula>EXACT(H15, "A")</formula>
    </cfRule>
  </conditionalFormatting>
  <conditionalFormatting sqref="C17">
    <cfRule type="containsBlanks" dxfId="26" priority="27">
      <formula>LEN(TRIM(C17))=0</formula>
    </cfRule>
  </conditionalFormatting>
  <conditionalFormatting sqref="D17">
    <cfRule type="containsBlanks" dxfId="25" priority="26">
      <formula>LEN(TRIM(D17))=0</formula>
    </cfRule>
  </conditionalFormatting>
  <conditionalFormatting sqref="C18">
    <cfRule type="containsBlanks" dxfId="24" priority="25">
      <formula>LEN(TRIM(C18))=0</formula>
    </cfRule>
  </conditionalFormatting>
  <conditionalFormatting sqref="D18">
    <cfRule type="containsBlanks" dxfId="23" priority="24">
      <formula>LEN(TRIM(D18))=0</formula>
    </cfRule>
  </conditionalFormatting>
  <conditionalFormatting sqref="C19">
    <cfRule type="containsBlanks" dxfId="22" priority="23">
      <formula>LEN(TRIM(C19))=0</formula>
    </cfRule>
  </conditionalFormatting>
  <conditionalFormatting sqref="D19">
    <cfRule type="containsBlanks" dxfId="21" priority="22">
      <formula>LEN(TRIM(D19))=0</formula>
    </cfRule>
  </conditionalFormatting>
  <conditionalFormatting sqref="C20">
    <cfRule type="containsBlanks" dxfId="20" priority="21">
      <formula>LEN(TRIM(C20))=0</formula>
    </cfRule>
  </conditionalFormatting>
  <conditionalFormatting sqref="D20">
    <cfRule type="containsBlanks" dxfId="19" priority="20">
      <formula>LEN(TRIM(D20))=0</formula>
    </cfRule>
  </conditionalFormatting>
  <conditionalFormatting sqref="C21">
    <cfRule type="containsBlanks" dxfId="18" priority="19">
      <formula>LEN(TRIM(C21))=0</formula>
    </cfRule>
  </conditionalFormatting>
  <conditionalFormatting sqref="D21">
    <cfRule type="containsBlanks" dxfId="17" priority="18">
      <formula>LEN(TRIM(D21))=0</formula>
    </cfRule>
  </conditionalFormatting>
  <conditionalFormatting sqref="C22">
    <cfRule type="containsBlanks" dxfId="16" priority="17">
      <formula>LEN(TRIM(C22))=0</formula>
    </cfRule>
  </conditionalFormatting>
  <conditionalFormatting sqref="D22">
    <cfRule type="containsBlanks" dxfId="15" priority="16">
      <formula>LEN(TRIM(D22))=0</formula>
    </cfRule>
  </conditionalFormatting>
  <conditionalFormatting sqref="D23">
    <cfRule type="containsBlanks" dxfId="14" priority="15">
      <formula>LEN(TRIM(D23))=0</formula>
    </cfRule>
  </conditionalFormatting>
  <conditionalFormatting sqref="C24">
    <cfRule type="containsBlanks" dxfId="13" priority="14">
      <formula>LEN(TRIM(C24))=0</formula>
    </cfRule>
  </conditionalFormatting>
  <conditionalFormatting sqref="D24">
    <cfRule type="containsBlanks" dxfId="12" priority="13">
      <formula>LEN(TRIM(D24))=0</formula>
    </cfRule>
  </conditionalFormatting>
  <conditionalFormatting sqref="C25">
    <cfRule type="containsBlanks" dxfId="11" priority="12">
      <formula>LEN(TRIM(C25))=0</formula>
    </cfRule>
  </conditionalFormatting>
  <conditionalFormatting sqref="D25">
    <cfRule type="containsBlanks" dxfId="10" priority="11">
      <formula>LEN(TRIM(D25))=0</formula>
    </cfRule>
  </conditionalFormatting>
  <conditionalFormatting sqref="C26">
    <cfRule type="containsBlanks" dxfId="9" priority="10">
      <formula>LEN(TRIM(C26))=0</formula>
    </cfRule>
  </conditionalFormatting>
  <conditionalFormatting sqref="D26">
    <cfRule type="containsBlanks" dxfId="8" priority="9">
      <formula>LEN(TRIM(D26))=0</formula>
    </cfRule>
  </conditionalFormatting>
  <conditionalFormatting sqref="C27">
    <cfRule type="containsBlanks" dxfId="7" priority="8">
      <formula>LEN(TRIM(C27))=0</formula>
    </cfRule>
  </conditionalFormatting>
  <conditionalFormatting sqref="D27">
    <cfRule type="containsBlanks" dxfId="6" priority="7">
      <formula>LEN(TRIM(D27))=0</formula>
    </cfRule>
  </conditionalFormatting>
  <conditionalFormatting sqref="C28">
    <cfRule type="containsBlanks" dxfId="5" priority="6">
      <formula>LEN(TRIM(C28))=0</formula>
    </cfRule>
  </conditionalFormatting>
  <conditionalFormatting sqref="D28">
    <cfRule type="containsBlanks" dxfId="4" priority="5">
      <formula>LEN(TRIM(D28))=0</formula>
    </cfRule>
  </conditionalFormatting>
  <conditionalFormatting sqref="C29">
    <cfRule type="containsBlanks" dxfId="3" priority="4">
      <formula>LEN(TRIM(C29))=0</formula>
    </cfRule>
  </conditionalFormatting>
  <conditionalFormatting sqref="D29">
    <cfRule type="containsBlanks" dxfId="2" priority="3">
      <formula>LEN(TRIM(D29))=0</formula>
    </cfRule>
  </conditionalFormatting>
  <conditionalFormatting sqref="C30">
    <cfRule type="containsBlanks" dxfId="1" priority="2">
      <formula>LEN(TRIM(C30))=0</formula>
    </cfRule>
  </conditionalFormatting>
  <conditionalFormatting sqref="D30">
    <cfRule type="containsBlanks" dxfId="0" priority="1">
      <formula>LEN(TRIM(D30))=0</formula>
    </cfRule>
  </conditionalFormatting>
  <dataValidations count="1">
    <dataValidation type="list" allowBlank="1" showInputMessage="1" showErrorMessage="1" sqref="H14:W14" xr:uid="{00000000-0002-0000-0500-000000000000}">
      <formula1>"SH, LH"</formula1>
    </dataValidation>
  </dataValidations>
  <pageMargins left="0" right="0" top="0" bottom="0.19685039370078741" header="0" footer="0"/>
  <pageSetup paperSize="9" scale="49" fitToHeight="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1000000}">
          <x14:formula1>
            <xm:f>Sheet3!$A$2:$A$54</xm:f>
          </x14:formula1>
          <xm:sqref>H20:P20 R20:W20 H15:W19 H21:W46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43"/>
  <sheetViews>
    <sheetView workbookViewId="0">
      <selection activeCell="G19" sqref="G19"/>
    </sheetView>
  </sheetViews>
  <sheetFormatPr defaultRowHeight="14.25"/>
  <cols>
    <col min="1" max="1" width="6.625" style="36" customWidth="1"/>
  </cols>
  <sheetData>
    <row r="2" spans="1:1">
      <c r="A2" s="36" t="s">
        <v>41</v>
      </c>
    </row>
    <row r="3" spans="1:1">
      <c r="A3" s="36" t="s">
        <v>40</v>
      </c>
    </row>
    <row r="4" spans="1:1">
      <c r="A4" s="36" t="s">
        <v>43</v>
      </c>
    </row>
    <row r="5" spans="1:1">
      <c r="A5" s="36" t="s">
        <v>42</v>
      </c>
    </row>
    <row r="6" spans="1:1">
      <c r="A6" s="36" t="s">
        <v>49</v>
      </c>
    </row>
    <row r="7" spans="1:1">
      <c r="A7" s="36" t="s">
        <v>46</v>
      </c>
    </row>
    <row r="8" spans="1:1">
      <c r="A8" s="36" t="s">
        <v>47</v>
      </c>
    </row>
    <row r="9" spans="1:1">
      <c r="A9" s="36" t="s">
        <v>48</v>
      </c>
    </row>
    <row r="10" spans="1:1">
      <c r="A10" s="36" t="s">
        <v>49</v>
      </c>
    </row>
    <row r="11" spans="1:1">
      <c r="A11" s="36">
        <v>8</v>
      </c>
    </row>
    <row r="12" spans="1:1">
      <c r="A12" s="36">
        <v>8.5</v>
      </c>
    </row>
    <row r="13" spans="1:1">
      <c r="A13" s="36">
        <v>9</v>
      </c>
    </row>
    <row r="14" spans="1:1">
      <c r="A14" s="36">
        <v>9.5</v>
      </c>
    </row>
    <row r="15" spans="1:1">
      <c r="A15" s="36">
        <v>10</v>
      </c>
    </row>
    <row r="16" spans="1:1">
      <c r="A16" s="36">
        <v>10.5</v>
      </c>
    </row>
    <row r="17" spans="1:1">
      <c r="A17" s="36">
        <v>11</v>
      </c>
    </row>
    <row r="18" spans="1:1">
      <c r="A18" s="36">
        <v>11.5</v>
      </c>
    </row>
    <row r="19" spans="1:1">
      <c r="A19" s="36">
        <v>12</v>
      </c>
    </row>
    <row r="20" spans="1:1">
      <c r="A20" s="36">
        <v>12.5</v>
      </c>
    </row>
    <row r="21" spans="1:1">
      <c r="A21" s="36">
        <v>13</v>
      </c>
    </row>
    <row r="22" spans="1:1">
      <c r="A22" s="36">
        <v>13.5</v>
      </c>
    </row>
    <row r="23" spans="1:1">
      <c r="A23" s="36">
        <v>14</v>
      </c>
    </row>
    <row r="24" spans="1:1">
      <c r="A24" s="36">
        <v>14.5</v>
      </c>
    </row>
    <row r="25" spans="1:1">
      <c r="A25" s="36">
        <v>15</v>
      </c>
    </row>
    <row r="26" spans="1:1">
      <c r="A26" s="36">
        <v>15.5</v>
      </c>
    </row>
    <row r="27" spans="1:1">
      <c r="A27" s="36">
        <v>16</v>
      </c>
    </row>
    <row r="28" spans="1:1">
      <c r="A28" s="36">
        <v>16.5</v>
      </c>
    </row>
    <row r="29" spans="1:1">
      <c r="A29" s="36">
        <v>17</v>
      </c>
    </row>
    <row r="30" spans="1:1">
      <c r="A30" s="36">
        <v>17.5</v>
      </c>
    </row>
    <row r="31" spans="1:1">
      <c r="A31" s="36">
        <v>18</v>
      </c>
    </row>
    <row r="32" spans="1:1">
      <c r="A32" s="36">
        <v>18.5</v>
      </c>
    </row>
    <row r="33" spans="1:1">
      <c r="A33" s="36">
        <v>19</v>
      </c>
    </row>
    <row r="34" spans="1:1">
      <c r="A34" s="36">
        <v>19.5</v>
      </c>
    </row>
    <row r="35" spans="1:1">
      <c r="A35" s="36">
        <v>20</v>
      </c>
    </row>
    <row r="36" spans="1:1">
      <c r="A36" s="36">
        <v>20.5</v>
      </c>
    </row>
    <row r="37" spans="1:1">
      <c r="A37" s="36">
        <v>21</v>
      </c>
    </row>
    <row r="38" spans="1:1">
      <c r="A38" s="36">
        <v>21.5</v>
      </c>
    </row>
    <row r="39" spans="1:1">
      <c r="A39" s="36">
        <v>22</v>
      </c>
    </row>
    <row r="40" spans="1:1">
      <c r="A40" s="36">
        <v>22.5</v>
      </c>
    </row>
    <row r="41" spans="1:1">
      <c r="A41" s="36">
        <v>23</v>
      </c>
    </row>
    <row r="42" spans="1:1">
      <c r="A42" s="36">
        <v>23.5</v>
      </c>
    </row>
    <row r="43" spans="1:1">
      <c r="A43" s="36">
        <v>24</v>
      </c>
    </row>
  </sheetData>
  <sheetProtection algorithmName="SHA-512" hashValue="ZBF0puSB6uN/c5p9p4YeJAkMDtiDDrf2mgECRPGAr4dXZGa+H/vx1WRIG+Z2A8Y9WFfCJFC2OLk24XqibGa7WQ==" saltValue="M+Uy1lmwz4nqArGjVQf4g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OCT.01-15 2025</vt:lpstr>
      <vt:lpstr>OCT 16-31 2025 (2)</vt:lpstr>
      <vt:lpstr>NOV 01-15 2025 (3)</vt:lpstr>
      <vt:lpstr>NOV.16-30 2025</vt:lpstr>
      <vt:lpstr>DEC.01-15 2025 (2)</vt:lpstr>
      <vt:lpstr>DEC.16-31 2025 (3)</vt:lpstr>
      <vt:lpstr>Sheet3</vt:lpstr>
      <vt:lpstr>'DEC.01-15 2025 (2)'!Print_Area</vt:lpstr>
      <vt:lpstr>'DEC.16-31 2025 (3)'!Print_Area</vt:lpstr>
      <vt:lpstr>'NOV 01-15 2025 (3)'!Print_Area</vt:lpstr>
      <vt:lpstr>'NOV.16-30 2025'!Print_Area</vt:lpstr>
      <vt:lpstr>'OCT 16-31 2025 (2)'!Print_Area</vt:lpstr>
      <vt:lpstr>'OCT.01-15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PMGIAAA4</cp:lastModifiedBy>
  <cp:lastPrinted>2025-10-20T05:48:46Z</cp:lastPrinted>
  <dcterms:created xsi:type="dcterms:W3CDTF">2025-09-25T07:44:03Z</dcterms:created>
  <dcterms:modified xsi:type="dcterms:W3CDTF">2025-10-20T07:07:05Z</dcterms:modified>
</cp:coreProperties>
</file>