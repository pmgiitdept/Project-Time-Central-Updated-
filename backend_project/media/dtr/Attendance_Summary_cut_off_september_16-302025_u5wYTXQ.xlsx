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MGI 100625\Desktop\"/>
    </mc:Choice>
  </mc:AlternateContent>
  <xr:revisionPtr revIDLastSave="0" documentId="13_ncr:1_{0F76EC81-6466-49FF-AA12-FEF72A9DF9D1}" xr6:coauthVersionLast="47" xr6:coauthVersionMax="47" xr10:uidLastSave="{00000000-0000-0000-0000-000000000000}"/>
  <bookViews>
    <workbookView xWindow="0" yWindow="300" windowWidth="12990" windowHeight="9270" xr2:uid="{05BC1890-48E5-4253-B660-38D036B8E33C}"/>
  </bookViews>
  <sheets>
    <sheet name="SUMMARY FORM" sheetId="1" r:id="rId1"/>
    <sheet name="Sheet3" sheetId="3" state="hidden" r:id="rId2"/>
  </sheets>
  <definedNames>
    <definedName name="_xlnm.Print_Area" localSheetId="0">'SUMMARY FORM'!$A$1:$AE$64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1" l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H51" i="1"/>
  <c r="X45" i="1" a="1"/>
  <c r="X45" i="1" s="1"/>
  <c r="Y45" i="1" s="1"/>
  <c r="AB45" i="1"/>
  <c r="AD45" i="1"/>
  <c r="X46" i="1" a="1"/>
  <c r="X46" i="1" s="1"/>
  <c r="Y46" i="1" s="1"/>
  <c r="AB46" i="1"/>
  <c r="AA46" i="1" s="1"/>
  <c r="AD46" i="1"/>
  <c r="X47" i="1" a="1"/>
  <c r="X47" i="1" s="1"/>
  <c r="Y47" i="1" s="1"/>
  <c r="AB47" i="1"/>
  <c r="AD47" i="1"/>
  <c r="X48" i="1" a="1"/>
  <c r="X48" i="1" s="1"/>
  <c r="Y48" i="1" s="1"/>
  <c r="AB48" i="1"/>
  <c r="AD48" i="1"/>
  <c r="X49" i="1" a="1"/>
  <c r="X49" i="1" s="1"/>
  <c r="Y49" i="1" s="1"/>
  <c r="AB49" i="1"/>
  <c r="AD49" i="1"/>
  <c r="B34" i="1"/>
  <c r="B35" i="1"/>
  <c r="B37" i="1"/>
  <c r="B38" i="1"/>
  <c r="B39" i="1"/>
  <c r="B41" i="1"/>
  <c r="B42" i="1"/>
  <c r="B43" i="1"/>
  <c r="B44" i="1"/>
  <c r="B45" i="1"/>
  <c r="B46" i="1"/>
  <c r="B47" i="1"/>
  <c r="B48" i="1"/>
  <c r="B49" i="1"/>
  <c r="B50" i="1"/>
  <c r="AD35" i="1"/>
  <c r="AB35" i="1"/>
  <c r="X35" i="1" a="1"/>
  <c r="X35" i="1" s="1"/>
  <c r="Y35" i="1" s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26" i="1" a="1"/>
  <c r="X26" i="1" s="1"/>
  <c r="Y26" i="1" s="1"/>
  <c r="X27" i="1" a="1"/>
  <c r="X27" i="1" s="1"/>
  <c r="Y27" i="1" s="1"/>
  <c r="X28" i="1" a="1"/>
  <c r="X28" i="1" s="1"/>
  <c r="Y28" i="1" s="1"/>
  <c r="X29" i="1" a="1"/>
  <c r="X29" i="1" s="1"/>
  <c r="Y29" i="1" s="1"/>
  <c r="X30" i="1" a="1"/>
  <c r="X30" i="1" s="1"/>
  <c r="Y30" i="1" s="1"/>
  <c r="X31" i="1" a="1"/>
  <c r="X31" i="1" s="1"/>
  <c r="Y31" i="1" s="1"/>
  <c r="X32" i="1" a="1"/>
  <c r="X32" i="1" s="1"/>
  <c r="Y32" i="1" s="1"/>
  <c r="X33" i="1" a="1"/>
  <c r="X33" i="1" s="1"/>
  <c r="Y33" i="1" s="1"/>
  <c r="X34" i="1" a="1"/>
  <c r="X34" i="1" s="1"/>
  <c r="Y34" i="1" s="1"/>
  <c r="X36" i="1" a="1"/>
  <c r="X36" i="1" s="1"/>
  <c r="Y36" i="1" s="1"/>
  <c r="X37" i="1" a="1"/>
  <c r="X37" i="1" s="1"/>
  <c r="Y37" i="1" s="1"/>
  <c r="X38" i="1" a="1"/>
  <c r="X38" i="1" s="1"/>
  <c r="Y38" i="1" s="1"/>
  <c r="X39" i="1" a="1"/>
  <c r="X39" i="1" s="1"/>
  <c r="Y39" i="1" s="1"/>
  <c r="X40" i="1" a="1"/>
  <c r="X40" i="1" s="1"/>
  <c r="Y40" i="1" s="1"/>
  <c r="X41" i="1" a="1"/>
  <c r="X41" i="1" s="1"/>
  <c r="Y41" i="1" s="1"/>
  <c r="X42" i="1" a="1"/>
  <c r="X42" i="1" s="1"/>
  <c r="Y42" i="1" s="1"/>
  <c r="X43" i="1" a="1"/>
  <c r="X43" i="1" s="1"/>
  <c r="Y43" i="1" s="1"/>
  <c r="X44" i="1" a="1"/>
  <c r="X44" i="1" s="1"/>
  <c r="Y44" i="1" s="1"/>
  <c r="X50" i="1" a="1"/>
  <c r="X50" i="1" s="1"/>
  <c r="Y50" i="1" s="1"/>
  <c r="X15" i="1" a="1"/>
  <c r="X15" i="1" s="1"/>
  <c r="Y15" i="1" s="1"/>
  <c r="AB15" i="1"/>
  <c r="AD15" i="1"/>
  <c r="H12" i="1"/>
  <c r="K13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6" i="1"/>
  <c r="AB37" i="1"/>
  <c r="AB38" i="1"/>
  <c r="AB39" i="1"/>
  <c r="AB40" i="1"/>
  <c r="AB41" i="1"/>
  <c r="AB42" i="1"/>
  <c r="AB43" i="1"/>
  <c r="AB44" i="1"/>
  <c r="AB50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6" i="1"/>
  <c r="AD37" i="1"/>
  <c r="AD38" i="1"/>
  <c r="AD39" i="1"/>
  <c r="AD40" i="1"/>
  <c r="AD41" i="1"/>
  <c r="AD42" i="1"/>
  <c r="AD43" i="1"/>
  <c r="AD44" i="1"/>
  <c r="AD50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15" i="1"/>
  <c r="AA49" i="1" l="1"/>
  <c r="AA47" i="1"/>
  <c r="AA45" i="1"/>
  <c r="X51" i="1"/>
  <c r="AA48" i="1"/>
  <c r="AA35" i="1"/>
  <c r="AA36" i="1"/>
  <c r="AA50" i="1"/>
  <c r="AA44" i="1"/>
  <c r="AA32" i="1"/>
  <c r="AA23" i="1"/>
  <c r="AA33" i="1"/>
  <c r="AA22" i="1"/>
  <c r="AA21" i="1"/>
  <c r="AA43" i="1"/>
  <c r="AA38" i="1"/>
  <c r="AA27" i="1"/>
  <c r="AA16" i="1"/>
  <c r="AA37" i="1"/>
  <c r="AA34" i="1"/>
  <c r="AA25" i="1"/>
  <c r="AA24" i="1"/>
  <c r="AA42" i="1"/>
  <c r="AA31" i="1"/>
  <c r="AA30" i="1"/>
  <c r="AA29" i="1"/>
  <c r="AA39" i="1"/>
  <c r="AA28" i="1"/>
  <c r="AA17" i="1"/>
  <c r="AA26" i="1"/>
  <c r="AA19" i="1"/>
  <c r="AA41" i="1"/>
  <c r="AA40" i="1"/>
  <c r="AA18" i="1"/>
  <c r="AA20" i="1"/>
  <c r="AA15" i="1"/>
  <c r="P13" i="1" l="1"/>
  <c r="AC51" i="1"/>
  <c r="Z51" i="1"/>
  <c r="AE51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I13" i="1"/>
  <c r="J13" i="1"/>
  <c r="L13" i="1"/>
  <c r="M13" i="1"/>
  <c r="N13" i="1"/>
  <c r="O13" i="1"/>
  <c r="Q13" i="1"/>
  <c r="R13" i="1"/>
  <c r="S13" i="1"/>
  <c r="T13" i="1"/>
  <c r="U13" i="1"/>
  <c r="V13" i="1"/>
  <c r="H13" i="1"/>
  <c r="G51" i="1" l="1"/>
  <c r="AD51" i="1"/>
  <c r="AB51" i="1"/>
  <c r="AA51" i="1" l="1"/>
  <c r="Y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<sst xmlns="http://schemas.openxmlformats.org/spreadsheetml/2006/main" count="285" uniqueCount="121">
  <si>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</si>
  <si>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</si>
  <si>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</si>
  <si>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</si>
  <si>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</si>
  <si>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</si>
  <si>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</si>
  <si>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</si>
  <si>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</si>
  <si>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</si>
  <si>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</si>
  <si>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</si>
  <si>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</si>
  <si>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</si>
  <si>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</si>
  <si>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</si>
  <si>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</si>
  <si>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</si>
  <si>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</si>
  <si>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</si>
  <si>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</si>
  <si>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</si>
  <si>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</si>
  <si>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</si>
  <si>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</si>
  <si>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</si>
  <si>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</si>
  <si>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</si>
  <si>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</si>
  <si>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</si>
  <si>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</si>
  <si>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</si>
  <si>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</si>
  <si>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</si>
  <si>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</si>
  <si>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</si>
  <si>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</si>
  <si>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</si>
  <si>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</si>
  <si>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</si>
  <si>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</si>
  <si>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</si>
  <si>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</si>
  <si>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</si>
  <si>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</si>
  <si>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</si>
  <si>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</si>
  <si>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</si>
  <si>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</si>
  <si>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</si>
  <si>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</si>
  <si>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</si>
  <si>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PM SHIFT</t>
  </si>
  <si>
    <t>2PM-11PM</t>
  </si>
  <si>
    <t>GY SHIFT</t>
  </si>
  <si>
    <t>HOUSEKEEPING</t>
  </si>
  <si>
    <t>OPS-FRM009-01-10012025</t>
  </si>
  <si>
    <t>GRAND TOTAL</t>
  </si>
  <si>
    <t>PROJECT</t>
  </si>
  <si>
    <t>7AM-8PM</t>
  </si>
  <si>
    <t>10PM-7AM</t>
  </si>
  <si>
    <t>7AM-4PM</t>
  </si>
  <si>
    <t>BONIFACIO ONE TECHNOLOGY TOWER</t>
  </si>
  <si>
    <t>12PM-9PM</t>
  </si>
  <si>
    <t>DAY OFF RELIEVER</t>
  </si>
  <si>
    <t>Valdez II, LHenry</t>
  </si>
  <si>
    <t>Cabaña,  Reyson</t>
  </si>
  <si>
    <t>Flores,   Jillber</t>
  </si>
  <si>
    <t>Lague,   Julita</t>
  </si>
  <si>
    <t>Adala,  Junmar</t>
  </si>
  <si>
    <t>Arig,    Arnel</t>
  </si>
  <si>
    <t>Blay,  Jenelyn</t>
  </si>
  <si>
    <t>De  Asis,   Kent Daryl</t>
  </si>
  <si>
    <t>De Vega,   Baby Grace</t>
  </si>
  <si>
    <t>Dioso,     Rowelyn</t>
  </si>
  <si>
    <t>Jamito,   Junar</t>
  </si>
  <si>
    <t>Laing,   Ariel</t>
  </si>
  <si>
    <t>Licuanan,   ROMEL</t>
  </si>
  <si>
    <t>Maglasang,  Miguel Jay</t>
  </si>
  <si>
    <t>Mantiles,    Rolly</t>
  </si>
  <si>
    <t>Mañuzo,   Emelvyn Ruth</t>
  </si>
  <si>
    <t>Percibal,  Melanie</t>
  </si>
  <si>
    <t>Sabusab,   Mark  Joshua</t>
  </si>
  <si>
    <t>Sosmeña,   Emma</t>
  </si>
  <si>
    <t xml:space="preserve">Tampol,    Romartch </t>
  </si>
  <si>
    <t>Caracas,   Jovita</t>
  </si>
  <si>
    <t>Doria,   Mark Louie</t>
  </si>
  <si>
    <t>Tayactac,  Anna Mae</t>
  </si>
  <si>
    <t>PM02292</t>
  </si>
  <si>
    <t>PM02350</t>
  </si>
  <si>
    <t>PM04015</t>
  </si>
  <si>
    <t>PM00358</t>
  </si>
  <si>
    <t>PM03240</t>
  </si>
  <si>
    <t>PM04443</t>
  </si>
  <si>
    <t>PM03819</t>
  </si>
  <si>
    <t>PM04163</t>
  </si>
  <si>
    <t>PM03922</t>
  </si>
  <si>
    <t>PM03799</t>
  </si>
  <si>
    <t>PM04011</t>
  </si>
  <si>
    <t>PM03669</t>
  </si>
  <si>
    <t>PM02851</t>
  </si>
  <si>
    <t>PM003881</t>
  </si>
  <si>
    <t>PM04391</t>
  </si>
  <si>
    <t>PM04022</t>
  </si>
  <si>
    <t>PM0825</t>
  </si>
  <si>
    <t>PM03626</t>
  </si>
  <si>
    <t>PM00785</t>
  </si>
  <si>
    <t>PM02425</t>
  </si>
  <si>
    <t>PM01174</t>
  </si>
  <si>
    <t>PM04470</t>
  </si>
  <si>
    <t>PM03995</t>
  </si>
  <si>
    <t>Arado, John Paul</t>
  </si>
  <si>
    <t>Dellera, Mary Ann</t>
  </si>
  <si>
    <t>Emigio, Melody</t>
  </si>
  <si>
    <t>Tafalla, Felix</t>
  </si>
  <si>
    <t>RELIEVER</t>
  </si>
  <si>
    <t>PM02850</t>
  </si>
  <si>
    <t>PM04530</t>
  </si>
  <si>
    <t>PM04584</t>
  </si>
  <si>
    <t>PM03867</t>
  </si>
  <si>
    <t>HENRY L. VALDEZ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</si>
</sst>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2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twoCellAnchor editAs="oneCell">
    <xdr:from>
      <xdr:col>2</xdr:col>
      <xdr:colOff>257735</xdr:colOff>
      <xdr:row>51</xdr:row>
      <xdr:rowOff>145677</xdr:rowOff>
    </xdr:from>
    <xdr:to>
      <xdr:col>3</xdr:col>
      <xdr:colOff>78440</xdr:colOff>
      <xdr:row>58</xdr:row>
      <xdr:rowOff>40342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8F5D0C7E-87AF-45D6-B874-F97F36A1C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911" y="14612471"/>
          <a:ext cx="15240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66"/>
  <sheetViews>
    <sheetView tabSelected="1" view="pageBreakPreview" topLeftCell="C49" zoomScale="85" zoomScaleNormal="70" zoomScaleSheetLayoutView="85" workbookViewId="0">
      <selection activeCell="C55" sqref="C55"/>
    </sheetView>
  </sheetViews>
  <sheetFormatPr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0.42578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67" t="s">
        <v>0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9"/>
    </row>
    <row r="3" spans="2:31" ht="15.75" x14ac:dyDescent="0.25">
      <c r="B3" s="11"/>
      <c r="C3" s="70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2"/>
    </row>
    <row r="4" spans="2:31" ht="15.75" x14ac:dyDescent="0.25">
      <c r="B4" s="11"/>
      <c r="C4" s="73" t="s">
        <v>1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5"/>
    </row>
    <row r="5" spans="2:31" ht="15.75" x14ac:dyDescent="0.25">
      <c r="B5" s="11"/>
      <c r="C5" s="70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2"/>
    </row>
    <row r="6" spans="2:31" ht="16.5" customHeight="1" thickBot="1" x14ac:dyDescent="0.3">
      <c r="B6" s="12"/>
      <c r="C6" s="83" t="s">
        <v>56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</row>
    <row r="7" spans="2:31" ht="23.25" customHeight="1" x14ac:dyDescent="0.25">
      <c r="C7" s="64" t="s">
        <v>58</v>
      </c>
      <c r="G7" s="34"/>
      <c r="H7" s="34"/>
    </row>
    <row r="8" spans="2:31" ht="15" customHeight="1" x14ac:dyDescent="0.25">
      <c r="B8" s="27"/>
      <c r="C8" s="80" t="s">
        <v>62</v>
      </c>
      <c r="D8" s="81"/>
      <c r="E8" s="81"/>
      <c r="F8" s="82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87">
        <v>45916</v>
      </c>
      <c r="E9" s="87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86">
        <v>45930</v>
      </c>
      <c r="E10" s="86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88" t="s">
        <v>4</v>
      </c>
      <c r="C12" s="88" t="s">
        <v>5</v>
      </c>
      <c r="D12" s="88" t="s">
        <v>45</v>
      </c>
      <c r="E12" s="88" t="s">
        <v>44</v>
      </c>
      <c r="F12" s="88" t="s">
        <v>38</v>
      </c>
      <c r="G12" s="91" t="s">
        <v>39</v>
      </c>
      <c r="H12" s="52" t="str">
        <f>IF(COLUMN()-COLUMN($H$12)&lt;=$D$10-$D9+1, TEXT($D$9+COLUMN()-COLUMN($H$12),"ddd"), "")</f>
        <v>Tue</v>
      </c>
      <c r="I12" s="53" t="str">
        <f t="shared" ref="I12:V12" si="0">IF(COLUMN()-COLUMN($H$12)&lt;=$D$10-$D9+1, TEXT($D$9+COLUMN()-COLUMN($H$12),"ddd"), "")</f>
        <v>Wed</v>
      </c>
      <c r="J12" s="53" t="str">
        <f t="shared" si="0"/>
        <v>Thu</v>
      </c>
      <c r="K12" s="53" t="str">
        <f t="shared" si="0"/>
        <v>Fri</v>
      </c>
      <c r="L12" s="53" t="str">
        <f t="shared" si="0"/>
        <v>Sat</v>
      </c>
      <c r="M12" s="53" t="str">
        <f t="shared" si="0"/>
        <v>Sun</v>
      </c>
      <c r="N12" s="53" t="str">
        <f t="shared" si="0"/>
        <v>Mon</v>
      </c>
      <c r="O12" s="53" t="str">
        <f t="shared" si="0"/>
        <v>Tue</v>
      </c>
      <c r="P12" s="53" t="str">
        <f t="shared" si="0"/>
        <v>Wed</v>
      </c>
      <c r="Q12" s="53" t="str">
        <f t="shared" si="0"/>
        <v>Thu</v>
      </c>
      <c r="R12" s="53" t="str">
        <f t="shared" si="0"/>
        <v>Fri</v>
      </c>
      <c r="S12" s="53" t="str">
        <f t="shared" si="0"/>
        <v>Sat</v>
      </c>
      <c r="T12" s="53" t="str">
        <f t="shared" si="0"/>
        <v>Sun</v>
      </c>
      <c r="U12" s="53" t="str">
        <f t="shared" si="0"/>
        <v>Mon</v>
      </c>
      <c r="V12" s="53" t="str">
        <f t="shared" si="0"/>
        <v>Tue</v>
      </c>
      <c r="W12" s="54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88" t="s">
        <v>37</v>
      </c>
    </row>
    <row r="13" spans="2:31" ht="13.5" customHeight="1" x14ac:dyDescent="0.25">
      <c r="B13" s="89"/>
      <c r="C13" s="89"/>
      <c r="D13" s="89"/>
      <c r="E13" s="89"/>
      <c r="F13" s="89"/>
      <c r="G13" s="92"/>
      <c r="H13" s="55">
        <f t="shared" ref="H13:V13" si="1">IF(COLUMN()-COLUMN($H$13)&lt;=$D$10-$D$9+1, DAY($D$9+COLUMN()-COLUMN($H$13)), "")</f>
        <v>16</v>
      </c>
      <c r="I13" s="44">
        <f t="shared" si="1"/>
        <v>17</v>
      </c>
      <c r="J13" s="44">
        <f t="shared" si="1"/>
        <v>18</v>
      </c>
      <c r="K13" s="44">
        <f t="shared" si="1"/>
        <v>19</v>
      </c>
      <c r="L13" s="44">
        <f t="shared" si="1"/>
        <v>20</v>
      </c>
      <c r="M13" s="44">
        <f t="shared" si="1"/>
        <v>21</v>
      </c>
      <c r="N13" s="44">
        <f t="shared" si="1"/>
        <v>22</v>
      </c>
      <c r="O13" s="44">
        <f t="shared" si="1"/>
        <v>23</v>
      </c>
      <c r="P13" s="44">
        <f t="shared" si="1"/>
        <v>24</v>
      </c>
      <c r="Q13" s="44">
        <f t="shared" si="1"/>
        <v>25</v>
      </c>
      <c r="R13" s="44">
        <f t="shared" si="1"/>
        <v>26</v>
      </c>
      <c r="S13" s="44">
        <f t="shared" si="1"/>
        <v>27</v>
      </c>
      <c r="T13" s="44">
        <f t="shared" si="1"/>
        <v>28</v>
      </c>
      <c r="U13" s="44">
        <f t="shared" si="1"/>
        <v>29</v>
      </c>
      <c r="V13" s="44">
        <f t="shared" si="1"/>
        <v>30</v>
      </c>
      <c r="W13" s="56"/>
      <c r="X13" s="94" t="s">
        <v>15</v>
      </c>
      <c r="Y13" s="88" t="s">
        <v>7</v>
      </c>
      <c r="Z13" s="88" t="s">
        <v>9</v>
      </c>
      <c r="AA13" s="88" t="s">
        <v>14</v>
      </c>
      <c r="AB13" s="88" t="s">
        <v>13</v>
      </c>
      <c r="AC13" s="88" t="s">
        <v>35</v>
      </c>
      <c r="AD13" s="88" t="s">
        <v>13</v>
      </c>
      <c r="AE13" s="89"/>
    </row>
    <row r="14" spans="2:31" ht="11.25" customHeight="1" x14ac:dyDescent="0.25">
      <c r="B14" s="90"/>
      <c r="C14" s="90"/>
      <c r="D14" s="90"/>
      <c r="E14" s="90"/>
      <c r="F14" s="90"/>
      <c r="G14" s="93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/>
      <c r="X14" s="95"/>
      <c r="Y14" s="90"/>
      <c r="Z14" s="90"/>
      <c r="AA14" s="90"/>
      <c r="AB14" s="90"/>
      <c r="AC14" s="90"/>
      <c r="AD14" s="90"/>
      <c r="AE14" s="90"/>
    </row>
    <row r="15" spans="2:31" ht="24.95" customHeight="1" x14ac:dyDescent="0.25">
      <c r="B15" s="16">
        <f>ROW()-14</f>
        <v>1</v>
      </c>
      <c r="C15" s="18" t="s">
        <v>65</v>
      </c>
      <c r="D15" s="18" t="s">
        <v>91</v>
      </c>
      <c r="E15" s="18" t="s">
        <v>29</v>
      </c>
      <c r="F15" s="18" t="s">
        <v>51</v>
      </c>
      <c r="G15" s="17" t="s">
        <v>59</v>
      </c>
      <c r="H15" s="59">
        <v>12</v>
      </c>
      <c r="I15" s="19">
        <v>12</v>
      </c>
      <c r="J15" s="19">
        <v>12</v>
      </c>
      <c r="K15" s="19">
        <v>12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19">
        <v>12</v>
      </c>
      <c r="T15" s="19" t="s">
        <v>40</v>
      </c>
      <c r="U15" s="19">
        <v>12</v>
      </c>
      <c r="V15" s="19">
        <v>12</v>
      </c>
      <c r="W15" s="60"/>
      <c r="X15" s="50" cm="1">
        <f t="array" ref="X15">SUMPRODUCT(--ISNUMBER(H15:W15), --($H$14:$W$14&lt;&gt;"LH"), --($H$14:$W$14&lt;&gt;"SH"))</f>
        <v>13</v>
      </c>
      <c r="Y15" s="19">
        <f>X15*8</f>
        <v>104</v>
      </c>
      <c r="Z15" s="19"/>
      <c r="AA15" s="19">
        <f>SUM(H15:W15)-AB15-AD15-Y15</f>
        <v>52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 x14ac:dyDescent="0.25">
      <c r="B16" s="16">
        <f t="shared" ref="B16:B50" si="2">ROW()-14</f>
        <v>2</v>
      </c>
      <c r="C16" s="18" t="s">
        <v>66</v>
      </c>
      <c r="D16" s="18" t="s">
        <v>92</v>
      </c>
      <c r="E16" s="18" t="s">
        <v>50</v>
      </c>
      <c r="F16" s="18" t="s">
        <v>54</v>
      </c>
      <c r="G16" s="17" t="s">
        <v>60</v>
      </c>
      <c r="H16" s="59" t="s">
        <v>40</v>
      </c>
      <c r="I16" s="19">
        <v>8</v>
      </c>
      <c r="J16" s="19">
        <v>8</v>
      </c>
      <c r="K16" s="19">
        <v>8</v>
      </c>
      <c r="L16" s="19">
        <v>8</v>
      </c>
      <c r="M16" s="19">
        <v>8</v>
      </c>
      <c r="N16" s="19">
        <v>8</v>
      </c>
      <c r="O16" s="19" t="s">
        <v>40</v>
      </c>
      <c r="P16" s="19">
        <v>8</v>
      </c>
      <c r="Q16" s="19">
        <v>8</v>
      </c>
      <c r="R16" s="19">
        <v>8</v>
      </c>
      <c r="S16" s="19">
        <v>8</v>
      </c>
      <c r="T16" s="19">
        <v>8</v>
      </c>
      <c r="U16" s="19" t="s">
        <v>43</v>
      </c>
      <c r="V16" s="19" t="s">
        <v>40</v>
      </c>
      <c r="W16" s="60"/>
      <c r="X16" s="50" cm="1">
        <f t="array" ref="X16">SUMPRODUCT(--ISNUMBER(H16:W16), --($H$14:$W$14&lt;&gt;"LH"), --($H$14:$W$14&lt;&gt;"SH"))</f>
        <v>11</v>
      </c>
      <c r="Y16" s="19">
        <f t="shared" ref="Y16:Y50" si="3">X16*8</f>
        <v>88</v>
      </c>
      <c r="Z16" s="19"/>
      <c r="AA16" s="19">
        <f t="shared" ref="AA16:AA50" si="4">SUM(H16:W16)-AB16-AD16-Y16</f>
        <v>0</v>
      </c>
      <c r="AB16" s="19">
        <f t="shared" ref="AB16:AB50" si="5">SUMIF($H$14:$W$14,"LH",$H16:$W16)</f>
        <v>0</v>
      </c>
      <c r="AC16" s="19"/>
      <c r="AD16" s="19">
        <f t="shared" ref="AD16:AD50" si="6">SUMIF($H$14:$W$14,"SH",$H16:$W16)</f>
        <v>0</v>
      </c>
      <c r="AE16" s="65">
        <v>88</v>
      </c>
    </row>
    <row r="17" spans="2:31" ht="24.95" customHeight="1" x14ac:dyDescent="0.25">
      <c r="B17" s="16">
        <f t="shared" si="2"/>
        <v>3</v>
      </c>
      <c r="C17" s="18" t="s">
        <v>67</v>
      </c>
      <c r="D17" s="18" t="s">
        <v>88</v>
      </c>
      <c r="E17" s="18" t="s">
        <v>50</v>
      </c>
      <c r="F17" s="18" t="s">
        <v>54</v>
      </c>
      <c r="G17" s="17" t="s">
        <v>60</v>
      </c>
      <c r="H17" s="59">
        <v>8</v>
      </c>
      <c r="I17" s="19">
        <v>8</v>
      </c>
      <c r="J17" s="19">
        <v>8</v>
      </c>
      <c r="K17" s="19">
        <v>8</v>
      </c>
      <c r="L17" s="19" t="s">
        <v>40</v>
      </c>
      <c r="M17" s="19">
        <v>8</v>
      </c>
      <c r="N17" s="19">
        <v>8</v>
      </c>
      <c r="O17" s="19">
        <v>8</v>
      </c>
      <c r="P17" s="19">
        <v>8</v>
      </c>
      <c r="Q17" s="19">
        <v>8</v>
      </c>
      <c r="R17" s="19">
        <v>8</v>
      </c>
      <c r="S17" s="19" t="s">
        <v>40</v>
      </c>
      <c r="T17" s="19">
        <v>8</v>
      </c>
      <c r="U17" s="19">
        <v>8</v>
      </c>
      <c r="V17" s="19">
        <v>8</v>
      </c>
      <c r="W17" s="60"/>
      <c r="X17" s="50" cm="1">
        <f t="array" ref="X17">SUMPRODUCT(--ISNUMBER(H17:W17), --($H$14:$W$14&lt;&gt;"LH"), --($H$14:$W$14&lt;&gt;"SH"))</f>
        <v>13</v>
      </c>
      <c r="Y17" s="19">
        <f t="shared" si="3"/>
        <v>104</v>
      </c>
      <c r="Z17" s="19"/>
      <c r="AA17" s="19">
        <f t="shared" si="4"/>
        <v>0</v>
      </c>
      <c r="AB17" s="19">
        <f t="shared" si="5"/>
        <v>0</v>
      </c>
      <c r="AC17" s="19"/>
      <c r="AD17" s="19">
        <f t="shared" si="6"/>
        <v>0</v>
      </c>
      <c r="AE17" s="65">
        <v>104</v>
      </c>
    </row>
    <row r="18" spans="2:31" ht="24.95" customHeight="1" x14ac:dyDescent="0.25">
      <c r="B18" s="16">
        <f t="shared" si="2"/>
        <v>4</v>
      </c>
      <c r="C18" s="18" t="s">
        <v>68</v>
      </c>
      <c r="D18" s="18" t="s">
        <v>89</v>
      </c>
      <c r="E18" s="18" t="s">
        <v>50</v>
      </c>
      <c r="F18" s="18" t="s">
        <v>51</v>
      </c>
      <c r="G18" s="17" t="s">
        <v>61</v>
      </c>
      <c r="H18" s="59">
        <v>8</v>
      </c>
      <c r="I18" s="19">
        <v>8</v>
      </c>
      <c r="J18" s="19">
        <v>8</v>
      </c>
      <c r="K18" s="19">
        <v>8</v>
      </c>
      <c r="L18" s="19" t="s">
        <v>40</v>
      </c>
      <c r="M18" s="19">
        <v>8</v>
      </c>
      <c r="N18" s="19">
        <v>8</v>
      </c>
      <c r="O18" s="19">
        <v>8</v>
      </c>
      <c r="P18" s="19">
        <v>8</v>
      </c>
      <c r="Q18" s="19">
        <v>8</v>
      </c>
      <c r="R18" s="19">
        <v>8</v>
      </c>
      <c r="S18" s="19" t="s">
        <v>40</v>
      </c>
      <c r="T18" s="19">
        <v>8</v>
      </c>
      <c r="U18" s="19">
        <v>8</v>
      </c>
      <c r="V18" s="19">
        <v>8</v>
      </c>
      <c r="W18" s="60"/>
      <c r="X18" s="50" cm="1">
        <f t="array" ref="X18">SUMPRODUCT(--ISNUMBER(H18:W18), --($H$14:$W$14&lt;&gt;"LH"), --($H$14:$W$14&lt;&gt;"SH"))</f>
        <v>13</v>
      </c>
      <c r="Y18" s="19">
        <f t="shared" si="3"/>
        <v>104</v>
      </c>
      <c r="Z18" s="19"/>
      <c r="AA18" s="19">
        <f t="shared" si="4"/>
        <v>0</v>
      </c>
      <c r="AB18" s="19">
        <f t="shared" si="5"/>
        <v>0</v>
      </c>
      <c r="AC18" s="19"/>
      <c r="AD18" s="19">
        <f t="shared" si="6"/>
        <v>0</v>
      </c>
      <c r="AE18" s="51"/>
    </row>
    <row r="19" spans="2:31" ht="24.95" customHeight="1" x14ac:dyDescent="0.25">
      <c r="B19" s="16">
        <f t="shared" si="2"/>
        <v>5</v>
      </c>
      <c r="C19" s="18" t="s">
        <v>69</v>
      </c>
      <c r="D19" s="18" t="s">
        <v>93</v>
      </c>
      <c r="E19" s="18" t="s">
        <v>55</v>
      </c>
      <c r="F19" s="18" t="s">
        <v>52</v>
      </c>
      <c r="G19" s="17" t="s">
        <v>53</v>
      </c>
      <c r="H19" s="59" t="s">
        <v>40</v>
      </c>
      <c r="I19" s="19">
        <v>8</v>
      </c>
      <c r="J19" s="19">
        <v>8</v>
      </c>
      <c r="K19" s="19">
        <v>8</v>
      </c>
      <c r="L19" s="19">
        <v>8</v>
      </c>
      <c r="M19" s="19">
        <v>8</v>
      </c>
      <c r="N19" s="19">
        <v>8</v>
      </c>
      <c r="O19" s="19" t="s">
        <v>40</v>
      </c>
      <c r="P19" s="19">
        <v>8</v>
      </c>
      <c r="Q19" s="19">
        <v>8</v>
      </c>
      <c r="R19" s="19">
        <v>8</v>
      </c>
      <c r="S19" s="19">
        <v>8</v>
      </c>
      <c r="T19" s="19">
        <v>8</v>
      </c>
      <c r="U19" s="19">
        <v>8</v>
      </c>
      <c r="V19" s="19" t="s">
        <v>40</v>
      </c>
      <c r="W19" s="60"/>
      <c r="X19" s="50" cm="1">
        <f t="array" ref="X19">SUMPRODUCT(--ISNUMBER(H19:W19), --($H$14:$W$14&lt;&gt;"LH"), --($H$14:$W$14&lt;&gt;"SH"))</f>
        <v>12</v>
      </c>
      <c r="Y19" s="19">
        <f t="shared" si="3"/>
        <v>96</v>
      </c>
      <c r="Z19" s="19"/>
      <c r="AA19" s="19">
        <f t="shared" si="4"/>
        <v>0</v>
      </c>
      <c r="AB19" s="19">
        <f t="shared" si="5"/>
        <v>0</v>
      </c>
      <c r="AC19" s="19"/>
      <c r="AD19" s="19">
        <f t="shared" si="6"/>
        <v>0</v>
      </c>
      <c r="AE19" s="65">
        <v>12</v>
      </c>
    </row>
    <row r="20" spans="2:31" ht="24.95" customHeight="1" x14ac:dyDescent="0.25">
      <c r="B20" s="16">
        <f t="shared" si="2"/>
        <v>6</v>
      </c>
      <c r="C20" s="18" t="s">
        <v>70</v>
      </c>
      <c r="D20" s="18" t="s">
        <v>94</v>
      </c>
      <c r="E20" s="18" t="s">
        <v>55</v>
      </c>
      <c r="F20" s="18" t="s">
        <v>54</v>
      </c>
      <c r="G20" s="17" t="s">
        <v>60</v>
      </c>
      <c r="H20" s="59">
        <v>8</v>
      </c>
      <c r="I20" s="19">
        <v>8</v>
      </c>
      <c r="J20" s="19">
        <v>8</v>
      </c>
      <c r="K20" s="19" t="s">
        <v>40</v>
      </c>
      <c r="L20" s="19">
        <v>8</v>
      </c>
      <c r="M20" s="19">
        <v>8</v>
      </c>
      <c r="N20" s="19">
        <v>8</v>
      </c>
      <c r="O20" s="19">
        <v>8</v>
      </c>
      <c r="P20" s="19">
        <v>8</v>
      </c>
      <c r="Q20" s="19">
        <v>8</v>
      </c>
      <c r="R20" s="19" t="s">
        <v>40</v>
      </c>
      <c r="S20" s="19">
        <v>8</v>
      </c>
      <c r="T20" s="19">
        <v>8</v>
      </c>
      <c r="U20" s="19">
        <v>8</v>
      </c>
      <c r="V20" s="19">
        <v>8</v>
      </c>
      <c r="W20" s="60"/>
      <c r="X20" s="50" cm="1">
        <f t="array" ref="X20">SUMPRODUCT(--ISNUMBER(H20:W20), --($H$14:$W$14&lt;&gt;"LH"), --($H$14:$W$14&lt;&gt;"SH"))</f>
        <v>13</v>
      </c>
      <c r="Y20" s="19">
        <f t="shared" si="3"/>
        <v>104</v>
      </c>
      <c r="Z20" s="19"/>
      <c r="AA20" s="19">
        <f t="shared" si="4"/>
        <v>0</v>
      </c>
      <c r="AB20" s="19">
        <f t="shared" si="5"/>
        <v>0</v>
      </c>
      <c r="AC20" s="19"/>
      <c r="AD20" s="19">
        <f t="shared" si="6"/>
        <v>0</v>
      </c>
      <c r="AE20" s="65">
        <v>104</v>
      </c>
    </row>
    <row r="21" spans="2:31" ht="24.95" customHeight="1" x14ac:dyDescent="0.25">
      <c r="B21" s="16">
        <f t="shared" si="2"/>
        <v>7</v>
      </c>
      <c r="C21" s="18" t="s">
        <v>71</v>
      </c>
      <c r="D21" s="18" t="s">
        <v>90</v>
      </c>
      <c r="E21" s="18" t="s">
        <v>55</v>
      </c>
      <c r="F21" s="18" t="s">
        <v>52</v>
      </c>
      <c r="G21" s="17" t="s">
        <v>53</v>
      </c>
      <c r="H21" s="59">
        <v>8</v>
      </c>
      <c r="I21" s="19">
        <v>8</v>
      </c>
      <c r="J21" s="19">
        <v>8</v>
      </c>
      <c r="K21" s="19" t="s">
        <v>40</v>
      </c>
      <c r="L21" s="19">
        <v>8</v>
      </c>
      <c r="M21" s="19">
        <v>8</v>
      </c>
      <c r="N21" s="19">
        <v>8</v>
      </c>
      <c r="O21" s="19">
        <v>8</v>
      </c>
      <c r="P21" s="19">
        <v>8</v>
      </c>
      <c r="Q21" s="19">
        <v>8</v>
      </c>
      <c r="R21" s="19" t="s">
        <v>40</v>
      </c>
      <c r="S21" s="19">
        <v>8</v>
      </c>
      <c r="T21" s="19">
        <v>8</v>
      </c>
      <c r="U21" s="19">
        <v>8</v>
      </c>
      <c r="V21" s="19">
        <v>8</v>
      </c>
      <c r="W21" s="60"/>
      <c r="X21" s="50" cm="1">
        <f t="array" ref="X21">SUMPRODUCT(--ISNUMBER(H21:W21), --($H$14:$W$14&lt;&gt;"LH"), --($H$14:$W$14&lt;&gt;"SH"))</f>
        <v>13</v>
      </c>
      <c r="Y21" s="19">
        <f t="shared" si="3"/>
        <v>104</v>
      </c>
      <c r="Z21" s="19"/>
      <c r="AA21" s="19">
        <f t="shared" si="4"/>
        <v>0</v>
      </c>
      <c r="AB21" s="19">
        <f t="shared" si="5"/>
        <v>0</v>
      </c>
      <c r="AC21" s="19"/>
      <c r="AD21" s="19">
        <f t="shared" si="6"/>
        <v>0</v>
      </c>
      <c r="AE21" s="65">
        <v>13</v>
      </c>
    </row>
    <row r="22" spans="2:31" ht="24.95" customHeight="1" x14ac:dyDescent="0.25">
      <c r="B22" s="16">
        <f t="shared" si="2"/>
        <v>8</v>
      </c>
      <c r="C22" s="18" t="s">
        <v>72</v>
      </c>
      <c r="D22" s="18" t="s">
        <v>95</v>
      </c>
      <c r="E22" s="18" t="s">
        <v>55</v>
      </c>
      <c r="F22" s="18" t="s">
        <v>54</v>
      </c>
      <c r="G22" s="17" t="s">
        <v>60</v>
      </c>
      <c r="H22" s="59">
        <v>8</v>
      </c>
      <c r="I22" s="19">
        <v>8</v>
      </c>
      <c r="J22" s="19">
        <v>8</v>
      </c>
      <c r="K22" s="19">
        <v>8</v>
      </c>
      <c r="L22" s="19" t="s">
        <v>40</v>
      </c>
      <c r="M22" s="19">
        <v>8</v>
      </c>
      <c r="N22" s="19">
        <v>8</v>
      </c>
      <c r="O22" s="19">
        <v>8</v>
      </c>
      <c r="P22" s="19">
        <v>8</v>
      </c>
      <c r="Q22" s="19">
        <v>8</v>
      </c>
      <c r="R22" s="19">
        <v>8</v>
      </c>
      <c r="S22" s="19" t="s">
        <v>40</v>
      </c>
      <c r="T22" s="19">
        <v>8</v>
      </c>
      <c r="U22" s="19">
        <v>8</v>
      </c>
      <c r="V22" s="19">
        <v>8</v>
      </c>
      <c r="W22" s="60"/>
      <c r="X22" s="50" cm="1">
        <f t="array" ref="X22">SUMPRODUCT(--ISNUMBER(H22:W22), --($H$14:$W$14&lt;&gt;"LH"), --($H$14:$W$14&lt;&gt;"SH"))</f>
        <v>13</v>
      </c>
      <c r="Y22" s="19">
        <f t="shared" si="3"/>
        <v>104</v>
      </c>
      <c r="Z22" s="19"/>
      <c r="AA22" s="19">
        <f t="shared" si="4"/>
        <v>0</v>
      </c>
      <c r="AB22" s="19">
        <f t="shared" si="5"/>
        <v>0</v>
      </c>
      <c r="AC22" s="19"/>
      <c r="AD22" s="19">
        <f t="shared" si="6"/>
        <v>0</v>
      </c>
      <c r="AE22" s="65">
        <v>104</v>
      </c>
    </row>
    <row r="23" spans="2:31" ht="24.95" customHeight="1" x14ac:dyDescent="0.25">
      <c r="B23" s="16">
        <f t="shared" si="2"/>
        <v>9</v>
      </c>
      <c r="C23" s="18" t="s">
        <v>73</v>
      </c>
      <c r="D23" s="18" t="s">
        <v>96</v>
      </c>
      <c r="E23" s="18" t="s">
        <v>55</v>
      </c>
      <c r="F23" s="18" t="s">
        <v>54</v>
      </c>
      <c r="G23" s="17" t="s">
        <v>60</v>
      </c>
      <c r="H23" s="59">
        <v>8</v>
      </c>
      <c r="I23" s="19">
        <v>8</v>
      </c>
      <c r="J23" s="19" t="s">
        <v>40</v>
      </c>
      <c r="K23" s="19">
        <v>8</v>
      </c>
      <c r="L23" s="19">
        <v>8</v>
      </c>
      <c r="M23" s="19" t="s">
        <v>42</v>
      </c>
      <c r="N23" s="19" t="s">
        <v>42</v>
      </c>
      <c r="O23" s="19" t="s">
        <v>42</v>
      </c>
      <c r="P23" s="19" t="s">
        <v>42</v>
      </c>
      <c r="Q23" s="19" t="s">
        <v>40</v>
      </c>
      <c r="R23" s="19" t="s">
        <v>42</v>
      </c>
      <c r="S23" s="19" t="s">
        <v>42</v>
      </c>
      <c r="T23" s="19" t="s">
        <v>42</v>
      </c>
      <c r="U23" s="19" t="s">
        <v>42</v>
      </c>
      <c r="V23" s="19" t="s">
        <v>42</v>
      </c>
      <c r="W23" s="60"/>
      <c r="X23" s="50" cm="1">
        <f t="array" ref="X23">SUMPRODUCT(--ISNUMBER(H23:W23), --($H$14:$W$14&lt;&gt;"LH"), --($H$14:$W$14&lt;&gt;"SH"))</f>
        <v>4</v>
      </c>
      <c r="Y23" s="19">
        <f t="shared" si="3"/>
        <v>32</v>
      </c>
      <c r="Z23" s="19"/>
      <c r="AA23" s="19">
        <f t="shared" si="4"/>
        <v>0</v>
      </c>
      <c r="AB23" s="19">
        <f t="shared" si="5"/>
        <v>0</v>
      </c>
      <c r="AC23" s="19"/>
      <c r="AD23" s="19">
        <f t="shared" si="6"/>
        <v>0</v>
      </c>
      <c r="AE23" s="65">
        <v>32</v>
      </c>
    </row>
    <row r="24" spans="2:31" ht="24.95" customHeight="1" x14ac:dyDescent="0.25">
      <c r="B24" s="16">
        <f t="shared" si="2"/>
        <v>10</v>
      </c>
      <c r="C24" s="18" t="s">
        <v>74</v>
      </c>
      <c r="D24" s="18" t="s">
        <v>97</v>
      </c>
      <c r="E24" s="18" t="s">
        <v>55</v>
      </c>
      <c r="F24" s="18" t="s">
        <v>52</v>
      </c>
      <c r="G24" s="17" t="s">
        <v>53</v>
      </c>
      <c r="H24" s="59">
        <v>8</v>
      </c>
      <c r="I24" s="19" t="s">
        <v>40</v>
      </c>
      <c r="J24" s="19">
        <v>8</v>
      </c>
      <c r="K24" s="19">
        <v>8</v>
      </c>
      <c r="L24" s="19">
        <v>8</v>
      </c>
      <c r="M24" s="19">
        <v>8</v>
      </c>
      <c r="N24" s="19">
        <v>8</v>
      </c>
      <c r="O24" s="19">
        <v>8</v>
      </c>
      <c r="P24" s="19" t="s">
        <v>40</v>
      </c>
      <c r="Q24" s="19">
        <v>8</v>
      </c>
      <c r="R24" s="19">
        <v>8</v>
      </c>
      <c r="S24" s="19">
        <v>8</v>
      </c>
      <c r="T24" s="19">
        <v>8</v>
      </c>
      <c r="U24" s="19">
        <v>8</v>
      </c>
      <c r="V24" s="19">
        <v>8</v>
      </c>
      <c r="W24" s="60"/>
      <c r="X24" s="50" cm="1">
        <f t="array" ref="X24">SUMPRODUCT(--ISNUMBER(H24:W24), --($H$14:$W$14&lt;&gt;"LH"), --($H$14:$W$14&lt;&gt;"SH"))</f>
        <v>13</v>
      </c>
      <c r="Y24" s="19">
        <f t="shared" si="3"/>
        <v>104</v>
      </c>
      <c r="Z24" s="19"/>
      <c r="AA24" s="19">
        <f t="shared" si="4"/>
        <v>0</v>
      </c>
      <c r="AB24" s="19">
        <f t="shared" si="5"/>
        <v>0</v>
      </c>
      <c r="AC24" s="19"/>
      <c r="AD24" s="19">
        <f t="shared" si="6"/>
        <v>0</v>
      </c>
      <c r="AE24" s="65">
        <v>13</v>
      </c>
    </row>
    <row r="25" spans="2:31" ht="24.95" customHeight="1" x14ac:dyDescent="0.25">
      <c r="B25" s="16">
        <f t="shared" si="2"/>
        <v>11</v>
      </c>
      <c r="C25" s="18" t="s">
        <v>75</v>
      </c>
      <c r="D25" s="18" t="s">
        <v>98</v>
      </c>
      <c r="E25" s="18" t="s">
        <v>55</v>
      </c>
      <c r="F25" s="18" t="s">
        <v>51</v>
      </c>
      <c r="G25" s="17" t="s">
        <v>61</v>
      </c>
      <c r="H25" s="59" t="s">
        <v>40</v>
      </c>
      <c r="I25" s="19">
        <v>8</v>
      </c>
      <c r="J25" s="19">
        <v>8</v>
      </c>
      <c r="K25" s="19">
        <v>8</v>
      </c>
      <c r="L25" s="19">
        <v>8</v>
      </c>
      <c r="M25" s="19">
        <v>8</v>
      </c>
      <c r="N25" s="19">
        <v>8</v>
      </c>
      <c r="O25" s="19">
        <v>8</v>
      </c>
      <c r="P25" s="19">
        <v>8</v>
      </c>
      <c r="Q25" s="19">
        <v>8</v>
      </c>
      <c r="R25" s="19">
        <v>8</v>
      </c>
      <c r="S25" s="19">
        <v>8</v>
      </c>
      <c r="T25" s="19" t="s">
        <v>41</v>
      </c>
      <c r="U25" s="19" t="s">
        <v>41</v>
      </c>
      <c r="V25" s="19" t="s">
        <v>40</v>
      </c>
      <c r="W25" s="60"/>
      <c r="X25" s="50" cm="1">
        <f t="array" ref="X25">SUMPRODUCT(--ISNUMBER(H25:W25), --($H$14:$W$14&lt;&gt;"LH"), --($H$14:$W$14&lt;&gt;"SH"))</f>
        <v>11</v>
      </c>
      <c r="Y25" s="19">
        <f t="shared" si="3"/>
        <v>88</v>
      </c>
      <c r="Z25" s="19"/>
      <c r="AA25" s="19">
        <f t="shared" si="4"/>
        <v>0</v>
      </c>
      <c r="AB25" s="19">
        <f t="shared" si="5"/>
        <v>0</v>
      </c>
      <c r="AC25" s="19"/>
      <c r="AD25" s="19">
        <f t="shared" si="6"/>
        <v>0</v>
      </c>
      <c r="AE25" s="51"/>
    </row>
    <row r="26" spans="2:31" ht="24.95" customHeight="1" x14ac:dyDescent="0.25">
      <c r="B26" s="16">
        <f t="shared" si="2"/>
        <v>12</v>
      </c>
      <c r="C26" s="18" t="s">
        <v>76</v>
      </c>
      <c r="D26" s="18" t="s">
        <v>99</v>
      </c>
      <c r="E26" s="18" t="s">
        <v>55</v>
      </c>
      <c r="F26" s="18" t="s">
        <v>52</v>
      </c>
      <c r="G26" s="17" t="s">
        <v>53</v>
      </c>
      <c r="H26" s="59">
        <v>8</v>
      </c>
      <c r="I26" s="19">
        <v>8</v>
      </c>
      <c r="J26" s="19">
        <v>8</v>
      </c>
      <c r="K26" s="19">
        <v>8</v>
      </c>
      <c r="L26" s="19" t="s">
        <v>40</v>
      </c>
      <c r="M26" s="19">
        <v>8</v>
      </c>
      <c r="N26" s="19">
        <v>8</v>
      </c>
      <c r="O26" s="19">
        <v>8</v>
      </c>
      <c r="P26" s="19">
        <v>8</v>
      </c>
      <c r="Q26" s="19">
        <v>8</v>
      </c>
      <c r="R26" s="19">
        <v>8</v>
      </c>
      <c r="S26" s="19" t="s">
        <v>40</v>
      </c>
      <c r="T26" s="19" t="s">
        <v>43</v>
      </c>
      <c r="U26" s="19">
        <v>8</v>
      </c>
      <c r="V26" s="19">
        <v>8</v>
      </c>
      <c r="W26" s="60"/>
      <c r="X26" s="50" cm="1">
        <f t="array" ref="X26">SUMPRODUCT(--ISNUMBER(H26:W26), --($H$14:$W$14&lt;&gt;"LH"), --($H$14:$W$14&lt;&gt;"SH"))</f>
        <v>12</v>
      </c>
      <c r="Y26" s="19">
        <f t="shared" si="3"/>
        <v>96</v>
      </c>
      <c r="Z26" s="19"/>
      <c r="AA26" s="19">
        <f t="shared" si="4"/>
        <v>0</v>
      </c>
      <c r="AB26" s="19">
        <f t="shared" si="5"/>
        <v>0</v>
      </c>
      <c r="AC26" s="19"/>
      <c r="AD26" s="19">
        <f t="shared" si="6"/>
        <v>0</v>
      </c>
      <c r="AE26" s="65">
        <v>12</v>
      </c>
    </row>
    <row r="27" spans="2:31" ht="24.95" customHeight="1" x14ac:dyDescent="0.25">
      <c r="B27" s="16">
        <f t="shared" si="2"/>
        <v>13</v>
      </c>
      <c r="C27" s="18" t="s">
        <v>77</v>
      </c>
      <c r="D27" s="18" t="s">
        <v>100</v>
      </c>
      <c r="E27" s="18" t="s">
        <v>55</v>
      </c>
      <c r="F27" s="18" t="s">
        <v>51</v>
      </c>
      <c r="G27" s="17" t="s">
        <v>61</v>
      </c>
      <c r="H27" s="59">
        <v>8</v>
      </c>
      <c r="I27" s="19" t="s">
        <v>40</v>
      </c>
      <c r="J27" s="19">
        <v>8</v>
      </c>
      <c r="K27" s="19">
        <v>8</v>
      </c>
      <c r="L27" s="19">
        <v>8</v>
      </c>
      <c r="M27" s="19">
        <v>8</v>
      </c>
      <c r="N27" s="19">
        <v>8</v>
      </c>
      <c r="O27" s="19">
        <v>8</v>
      </c>
      <c r="P27" s="19" t="s">
        <v>40</v>
      </c>
      <c r="Q27" s="19">
        <v>8</v>
      </c>
      <c r="R27" s="19">
        <v>8</v>
      </c>
      <c r="S27" s="19">
        <v>8</v>
      </c>
      <c r="T27" s="19">
        <v>8</v>
      </c>
      <c r="U27" s="19">
        <v>8</v>
      </c>
      <c r="V27" s="19">
        <v>8</v>
      </c>
      <c r="W27" s="60"/>
      <c r="X27" s="50" cm="1">
        <f t="array" ref="X27">SUMPRODUCT(--ISNUMBER(H27:W27), --($H$14:$W$14&lt;&gt;"LH"), --($H$14:$W$14&lt;&gt;"SH"))</f>
        <v>13</v>
      </c>
      <c r="Y27" s="19">
        <f t="shared" si="3"/>
        <v>104</v>
      </c>
      <c r="Z27" s="19"/>
      <c r="AA27" s="19">
        <f t="shared" si="4"/>
        <v>0</v>
      </c>
      <c r="AB27" s="19">
        <f t="shared" si="5"/>
        <v>0</v>
      </c>
      <c r="AC27" s="19"/>
      <c r="AD27" s="19">
        <f t="shared" si="6"/>
        <v>0</v>
      </c>
      <c r="AE27" s="51"/>
    </row>
    <row r="28" spans="2:31" ht="24.95" customHeight="1" x14ac:dyDescent="0.25">
      <c r="B28" s="16">
        <f t="shared" si="2"/>
        <v>14</v>
      </c>
      <c r="C28" s="18" t="s">
        <v>78</v>
      </c>
      <c r="D28" s="18" t="s">
        <v>101</v>
      </c>
      <c r="E28" s="18" t="s">
        <v>55</v>
      </c>
      <c r="F28" s="18" t="s">
        <v>51</v>
      </c>
      <c r="G28" s="17" t="s">
        <v>61</v>
      </c>
      <c r="H28" s="59">
        <v>8</v>
      </c>
      <c r="I28" s="19">
        <v>8</v>
      </c>
      <c r="J28" s="19">
        <v>8</v>
      </c>
      <c r="K28" s="19" t="s">
        <v>40</v>
      </c>
      <c r="L28" s="19">
        <v>8</v>
      </c>
      <c r="M28" s="19">
        <v>8</v>
      </c>
      <c r="N28" s="19">
        <v>8</v>
      </c>
      <c r="O28" s="19">
        <v>8</v>
      </c>
      <c r="P28" s="19">
        <v>8</v>
      </c>
      <c r="Q28" s="19">
        <v>8</v>
      </c>
      <c r="R28" s="19" t="s">
        <v>40</v>
      </c>
      <c r="S28" s="19">
        <v>8</v>
      </c>
      <c r="T28" s="19">
        <v>8</v>
      </c>
      <c r="U28" s="19">
        <v>8</v>
      </c>
      <c r="V28" s="19">
        <v>8</v>
      </c>
      <c r="W28" s="60"/>
      <c r="X28" s="50" cm="1">
        <f t="array" ref="X28">SUMPRODUCT(--ISNUMBER(H28:W28), --($H$14:$W$14&lt;&gt;"LH"), --($H$14:$W$14&lt;&gt;"SH"))</f>
        <v>13</v>
      </c>
      <c r="Y28" s="19">
        <f t="shared" si="3"/>
        <v>104</v>
      </c>
      <c r="Z28" s="19"/>
      <c r="AA28" s="19">
        <f t="shared" si="4"/>
        <v>0</v>
      </c>
      <c r="AB28" s="19">
        <f t="shared" si="5"/>
        <v>0</v>
      </c>
      <c r="AC28" s="19"/>
      <c r="AD28" s="19">
        <f t="shared" si="6"/>
        <v>0</v>
      </c>
      <c r="AE28" s="51"/>
    </row>
    <row r="29" spans="2:31" ht="24.95" customHeight="1" x14ac:dyDescent="0.25">
      <c r="B29" s="16">
        <f t="shared" si="2"/>
        <v>15</v>
      </c>
      <c r="C29" s="18" t="s">
        <v>79</v>
      </c>
      <c r="D29" s="18" t="s">
        <v>102</v>
      </c>
      <c r="E29" s="18" t="s">
        <v>55</v>
      </c>
      <c r="F29" s="18" t="s">
        <v>52</v>
      </c>
      <c r="G29" s="17" t="s">
        <v>63</v>
      </c>
      <c r="H29" s="59">
        <v>8</v>
      </c>
      <c r="I29" s="19">
        <v>8</v>
      </c>
      <c r="J29" s="19">
        <v>8</v>
      </c>
      <c r="K29" s="19">
        <v>8</v>
      </c>
      <c r="L29" s="19" t="s">
        <v>40</v>
      </c>
      <c r="M29" s="19">
        <v>8</v>
      </c>
      <c r="N29" s="19">
        <v>8</v>
      </c>
      <c r="O29" s="19">
        <v>8</v>
      </c>
      <c r="P29" s="19">
        <v>8</v>
      </c>
      <c r="Q29" s="19">
        <v>8</v>
      </c>
      <c r="R29" s="19">
        <v>8</v>
      </c>
      <c r="S29" s="19" t="s">
        <v>40</v>
      </c>
      <c r="T29" s="19">
        <v>8</v>
      </c>
      <c r="U29" s="19">
        <v>8</v>
      </c>
      <c r="V29" s="19">
        <v>8</v>
      </c>
      <c r="W29" s="60"/>
      <c r="X29" s="50" cm="1">
        <f t="array" ref="X29">SUMPRODUCT(--ISNUMBER(H29:W29), --($H$14:$W$14&lt;&gt;"LH"), --($H$14:$W$14&lt;&gt;"SH"))</f>
        <v>13</v>
      </c>
      <c r="Y29" s="19">
        <f t="shared" si="3"/>
        <v>104</v>
      </c>
      <c r="Z29" s="19"/>
      <c r="AA29" s="19">
        <f t="shared" si="4"/>
        <v>0</v>
      </c>
      <c r="AB29" s="19">
        <f t="shared" si="5"/>
        <v>0</v>
      </c>
      <c r="AC29" s="19"/>
      <c r="AD29" s="19">
        <f t="shared" si="6"/>
        <v>0</v>
      </c>
      <c r="AE29" s="51"/>
    </row>
    <row r="30" spans="2:31" ht="24.95" customHeight="1" x14ac:dyDescent="0.25">
      <c r="B30" s="16">
        <f t="shared" si="2"/>
        <v>16</v>
      </c>
      <c r="C30" s="18" t="s">
        <v>80</v>
      </c>
      <c r="D30" s="18" t="s">
        <v>103</v>
      </c>
      <c r="E30" s="18" t="s">
        <v>55</v>
      </c>
      <c r="F30" s="18" t="s">
        <v>54</v>
      </c>
      <c r="G30" s="17" t="s">
        <v>60</v>
      </c>
      <c r="H30" s="59">
        <v>8</v>
      </c>
      <c r="I30" s="19" t="s">
        <v>40</v>
      </c>
      <c r="J30" s="19">
        <v>8</v>
      </c>
      <c r="K30" s="19">
        <v>8</v>
      </c>
      <c r="L30" s="19">
        <v>8</v>
      </c>
      <c r="M30" s="19">
        <v>8</v>
      </c>
      <c r="N30" s="19">
        <v>8</v>
      </c>
      <c r="O30" s="19">
        <v>8</v>
      </c>
      <c r="P30" s="19" t="s">
        <v>40</v>
      </c>
      <c r="Q30" s="19">
        <v>8</v>
      </c>
      <c r="R30" s="19">
        <v>8</v>
      </c>
      <c r="S30" s="19">
        <v>8</v>
      </c>
      <c r="T30" s="19">
        <v>8</v>
      </c>
      <c r="U30" s="19">
        <v>8</v>
      </c>
      <c r="V30" s="19">
        <v>8</v>
      </c>
      <c r="W30" s="60"/>
      <c r="X30" s="50" cm="1">
        <f t="array" ref="X30">SUMPRODUCT(--ISNUMBER(H30:W30), --($H$14:$W$14&lt;&gt;"LH"), --($H$14:$W$14&lt;&gt;"SH"))</f>
        <v>13</v>
      </c>
      <c r="Y30" s="19">
        <f t="shared" si="3"/>
        <v>104</v>
      </c>
      <c r="Z30" s="19"/>
      <c r="AA30" s="19">
        <f t="shared" si="4"/>
        <v>0</v>
      </c>
      <c r="AB30" s="19">
        <f t="shared" si="5"/>
        <v>0</v>
      </c>
      <c r="AC30" s="19"/>
      <c r="AD30" s="19">
        <f t="shared" si="6"/>
        <v>0</v>
      </c>
      <c r="AE30" s="65">
        <v>104</v>
      </c>
    </row>
    <row r="31" spans="2:31" ht="24.95" customHeight="1" x14ac:dyDescent="0.25">
      <c r="B31" s="16">
        <f t="shared" si="2"/>
        <v>17</v>
      </c>
      <c r="C31" s="18" t="s">
        <v>81</v>
      </c>
      <c r="D31" s="18" t="s">
        <v>104</v>
      </c>
      <c r="E31" s="18" t="s">
        <v>55</v>
      </c>
      <c r="F31" s="18" t="s">
        <v>52</v>
      </c>
      <c r="G31" s="17" t="s">
        <v>53</v>
      </c>
      <c r="H31" s="59">
        <v>8</v>
      </c>
      <c r="I31" s="19">
        <v>8</v>
      </c>
      <c r="J31" s="19" t="s">
        <v>40</v>
      </c>
      <c r="K31" s="19">
        <v>8</v>
      </c>
      <c r="L31" s="19">
        <v>8</v>
      </c>
      <c r="M31" s="19">
        <v>8</v>
      </c>
      <c r="N31" s="19">
        <v>8</v>
      </c>
      <c r="O31" s="19">
        <v>8</v>
      </c>
      <c r="P31" s="19">
        <v>8</v>
      </c>
      <c r="Q31" s="19" t="s">
        <v>40</v>
      </c>
      <c r="R31" s="19">
        <v>8</v>
      </c>
      <c r="S31" s="19">
        <v>8</v>
      </c>
      <c r="T31" s="19">
        <v>8</v>
      </c>
      <c r="U31" s="19">
        <v>8</v>
      </c>
      <c r="V31" s="19">
        <v>8</v>
      </c>
      <c r="W31" s="60"/>
      <c r="X31" s="50" cm="1">
        <f t="array" ref="X31">SUMPRODUCT(--ISNUMBER(H31:W31), --($H$14:$W$14&lt;&gt;"LH"), --($H$14:$W$14&lt;&gt;"SH"))</f>
        <v>13</v>
      </c>
      <c r="Y31" s="19">
        <f t="shared" si="3"/>
        <v>104</v>
      </c>
      <c r="Z31" s="19"/>
      <c r="AA31" s="19">
        <f t="shared" si="4"/>
        <v>0</v>
      </c>
      <c r="AB31" s="19">
        <f t="shared" si="5"/>
        <v>0</v>
      </c>
      <c r="AC31" s="19"/>
      <c r="AD31" s="19">
        <f t="shared" si="6"/>
        <v>0</v>
      </c>
      <c r="AE31" s="65">
        <v>13</v>
      </c>
    </row>
    <row r="32" spans="2:31" ht="24.95" customHeight="1" x14ac:dyDescent="0.25">
      <c r="B32" s="16">
        <f t="shared" si="2"/>
        <v>18</v>
      </c>
      <c r="C32" s="18" t="s">
        <v>82</v>
      </c>
      <c r="D32" s="18" t="s">
        <v>105</v>
      </c>
      <c r="E32" s="18" t="s">
        <v>55</v>
      </c>
      <c r="F32" s="18" t="s">
        <v>54</v>
      </c>
      <c r="G32" s="17" t="s">
        <v>60</v>
      </c>
      <c r="H32" s="59">
        <v>8</v>
      </c>
      <c r="I32" s="19">
        <v>8</v>
      </c>
      <c r="J32" s="19">
        <v>8</v>
      </c>
      <c r="K32" s="19">
        <v>8</v>
      </c>
      <c r="L32" s="19">
        <v>8</v>
      </c>
      <c r="M32" s="19" t="s">
        <v>40</v>
      </c>
      <c r="N32" s="19">
        <v>8</v>
      </c>
      <c r="O32" s="19">
        <v>8</v>
      </c>
      <c r="P32" s="19">
        <v>8</v>
      </c>
      <c r="Q32" s="19">
        <v>8</v>
      </c>
      <c r="R32" s="19">
        <v>8</v>
      </c>
      <c r="S32" s="19">
        <v>8</v>
      </c>
      <c r="T32" s="19" t="s">
        <v>40</v>
      </c>
      <c r="U32" s="19">
        <v>8</v>
      </c>
      <c r="V32" s="19">
        <v>8</v>
      </c>
      <c r="W32" s="60"/>
      <c r="X32" s="50" cm="1">
        <f t="array" ref="X32">SUMPRODUCT(--ISNUMBER(H32:W32), --($H$14:$W$14&lt;&gt;"LH"), --($H$14:$W$14&lt;&gt;"SH"))</f>
        <v>13</v>
      </c>
      <c r="Y32" s="19">
        <f t="shared" si="3"/>
        <v>104</v>
      </c>
      <c r="Z32" s="19"/>
      <c r="AA32" s="19">
        <f t="shared" si="4"/>
        <v>0</v>
      </c>
      <c r="AB32" s="19">
        <f t="shared" si="5"/>
        <v>0</v>
      </c>
      <c r="AC32" s="19"/>
      <c r="AD32" s="19">
        <f t="shared" si="6"/>
        <v>0</v>
      </c>
      <c r="AE32" s="65">
        <v>104</v>
      </c>
    </row>
    <row r="33" spans="2:31" ht="24.95" customHeight="1" x14ac:dyDescent="0.25">
      <c r="B33" s="16">
        <f t="shared" si="2"/>
        <v>19</v>
      </c>
      <c r="C33" s="18" t="s">
        <v>83</v>
      </c>
      <c r="D33" s="18" t="s">
        <v>106</v>
      </c>
      <c r="E33" s="18" t="s">
        <v>55</v>
      </c>
      <c r="F33" s="18" t="s">
        <v>51</v>
      </c>
      <c r="G33" s="17" t="s">
        <v>61</v>
      </c>
      <c r="H33" s="59">
        <v>8</v>
      </c>
      <c r="I33" s="19">
        <v>8</v>
      </c>
      <c r="J33" s="19">
        <v>8</v>
      </c>
      <c r="K33" s="19">
        <v>8</v>
      </c>
      <c r="L33" s="19">
        <v>8</v>
      </c>
      <c r="M33" s="19" t="s">
        <v>40</v>
      </c>
      <c r="N33" s="19">
        <v>8</v>
      </c>
      <c r="O33" s="19">
        <v>8</v>
      </c>
      <c r="P33" s="19">
        <v>8</v>
      </c>
      <c r="Q33" s="19">
        <v>8</v>
      </c>
      <c r="R33" s="19">
        <v>8</v>
      </c>
      <c r="S33" s="19">
        <v>8</v>
      </c>
      <c r="T33" s="19" t="s">
        <v>40</v>
      </c>
      <c r="U33" s="19">
        <v>8</v>
      </c>
      <c r="V33" s="19">
        <v>8</v>
      </c>
      <c r="W33" s="60"/>
      <c r="X33" s="50" cm="1">
        <f t="array" ref="X33">SUMPRODUCT(--ISNUMBER(H33:W33), --($H$14:$W$14&lt;&gt;"LH"), --($H$14:$W$14&lt;&gt;"SH"))</f>
        <v>13</v>
      </c>
      <c r="Y33" s="19">
        <f t="shared" si="3"/>
        <v>104</v>
      </c>
      <c r="Z33" s="19"/>
      <c r="AA33" s="19">
        <f t="shared" si="4"/>
        <v>0</v>
      </c>
      <c r="AB33" s="19">
        <f t="shared" si="5"/>
        <v>0</v>
      </c>
      <c r="AC33" s="19"/>
      <c r="AD33" s="19">
        <f t="shared" si="6"/>
        <v>0</v>
      </c>
      <c r="AE33" s="51"/>
    </row>
    <row r="34" spans="2:31" ht="24.95" customHeight="1" x14ac:dyDescent="0.25">
      <c r="B34" s="16">
        <f t="shared" si="2"/>
        <v>20</v>
      </c>
      <c r="C34" s="18" t="s">
        <v>114</v>
      </c>
      <c r="D34" s="18" t="s">
        <v>116</v>
      </c>
      <c r="E34" s="18" t="s">
        <v>55</v>
      </c>
      <c r="F34" s="18" t="s">
        <v>51</v>
      </c>
      <c r="G34" s="17" t="s">
        <v>61</v>
      </c>
      <c r="H34" s="59">
        <v>8</v>
      </c>
      <c r="I34" s="19">
        <v>8</v>
      </c>
      <c r="J34" s="19" t="s">
        <v>40</v>
      </c>
      <c r="K34" s="19">
        <v>8</v>
      </c>
      <c r="L34" s="19">
        <v>8</v>
      </c>
      <c r="M34" s="19">
        <v>8</v>
      </c>
      <c r="N34" s="19">
        <v>8</v>
      </c>
      <c r="O34" s="19">
        <v>8</v>
      </c>
      <c r="P34" s="19">
        <v>8</v>
      </c>
      <c r="Q34" s="19" t="s">
        <v>40</v>
      </c>
      <c r="R34" s="19" t="s">
        <v>42</v>
      </c>
      <c r="S34" s="19" t="s">
        <v>42</v>
      </c>
      <c r="T34" s="19" t="s">
        <v>42</v>
      </c>
      <c r="U34" s="19" t="s">
        <v>42</v>
      </c>
      <c r="V34" s="19" t="s">
        <v>42</v>
      </c>
      <c r="W34" s="60"/>
      <c r="X34" s="50" cm="1">
        <f t="array" ref="X34">SUMPRODUCT(--ISNUMBER(H34:W34), --($H$14:$W$14&lt;&gt;"LH"), --($H$14:$W$14&lt;&gt;"SH"))</f>
        <v>8</v>
      </c>
      <c r="Y34" s="19">
        <f t="shared" si="3"/>
        <v>64</v>
      </c>
      <c r="Z34" s="19"/>
      <c r="AA34" s="19">
        <f t="shared" si="4"/>
        <v>0</v>
      </c>
      <c r="AB34" s="19">
        <f t="shared" si="5"/>
        <v>0</v>
      </c>
      <c r="AC34" s="19"/>
      <c r="AD34" s="19">
        <f t="shared" si="6"/>
        <v>0</v>
      </c>
      <c r="AE34" s="65"/>
    </row>
    <row r="35" spans="2:31" ht="24.95" customHeight="1" x14ac:dyDescent="0.25">
      <c r="B35" s="16">
        <f t="shared" si="2"/>
        <v>21</v>
      </c>
      <c r="C35" s="18" t="s">
        <v>84</v>
      </c>
      <c r="D35" s="18" t="s">
        <v>107</v>
      </c>
      <c r="E35" s="18" t="s">
        <v>55</v>
      </c>
      <c r="F35" s="18" t="s">
        <v>52</v>
      </c>
      <c r="G35" s="17" t="s">
        <v>53</v>
      </c>
      <c r="H35" s="59">
        <v>8</v>
      </c>
      <c r="I35" s="19">
        <v>8</v>
      </c>
      <c r="J35" s="19">
        <v>8</v>
      </c>
      <c r="K35" s="19">
        <v>8</v>
      </c>
      <c r="L35" s="19">
        <v>8</v>
      </c>
      <c r="M35" s="19" t="s">
        <v>40</v>
      </c>
      <c r="N35" s="19">
        <v>8</v>
      </c>
      <c r="O35" s="19">
        <v>8</v>
      </c>
      <c r="P35" s="19">
        <v>8</v>
      </c>
      <c r="Q35" s="19">
        <v>8</v>
      </c>
      <c r="R35" s="19">
        <v>8</v>
      </c>
      <c r="S35" s="19">
        <v>8</v>
      </c>
      <c r="T35" s="19" t="s">
        <v>40</v>
      </c>
      <c r="U35" s="19">
        <v>8</v>
      </c>
      <c r="V35" s="19">
        <v>8</v>
      </c>
      <c r="W35" s="60"/>
      <c r="X35" s="50" cm="1">
        <f t="array" ref="X35">SUMPRODUCT(--ISNUMBER(H35:W35), --($H$14:$W$14&lt;&gt;"LH"), --($H$14:$W$14&lt;&gt;"SH"))</f>
        <v>13</v>
      </c>
      <c r="Y35" s="19">
        <f t="shared" ref="Y35" si="7">X35*8</f>
        <v>104</v>
      </c>
      <c r="Z35" s="19"/>
      <c r="AA35" s="19">
        <f t="shared" ref="AA35" si="8">SUM(H35:W35)-AB35-AD35-Y35</f>
        <v>0</v>
      </c>
      <c r="AB35" s="19">
        <f t="shared" si="5"/>
        <v>0</v>
      </c>
      <c r="AC35" s="19"/>
      <c r="AD35" s="19">
        <f t="shared" si="6"/>
        <v>0</v>
      </c>
      <c r="AE35" s="65">
        <v>13</v>
      </c>
    </row>
    <row r="36" spans="2:31" ht="24.95" customHeight="1" x14ac:dyDescent="0.25">
      <c r="B36" s="16"/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5"/>
        <v>0</v>
      </c>
      <c r="AC36" s="19"/>
      <c r="AD36" s="19">
        <f t="shared" si="6"/>
        <v>0</v>
      </c>
      <c r="AE36" s="65"/>
    </row>
    <row r="37" spans="2:31" ht="24.95" customHeight="1" x14ac:dyDescent="0.25">
      <c r="B37" s="16">
        <f t="shared" si="2"/>
        <v>23</v>
      </c>
      <c r="C37" s="18" t="s">
        <v>85</v>
      </c>
      <c r="D37" s="18" t="s">
        <v>108</v>
      </c>
      <c r="E37" s="18" t="s">
        <v>64</v>
      </c>
      <c r="F37" s="18" t="s">
        <v>54</v>
      </c>
      <c r="G37" s="17" t="s">
        <v>60</v>
      </c>
      <c r="H37" s="59">
        <v>8</v>
      </c>
      <c r="I37" s="19">
        <v>8</v>
      </c>
      <c r="J37" s="19">
        <v>8</v>
      </c>
      <c r="K37" s="19">
        <v>8</v>
      </c>
      <c r="L37" s="19" t="s">
        <v>42</v>
      </c>
      <c r="M37" s="19" t="s">
        <v>42</v>
      </c>
      <c r="N37" s="19" t="s">
        <v>40</v>
      </c>
      <c r="O37" s="19" t="s">
        <v>42</v>
      </c>
      <c r="P37" s="19" t="s">
        <v>42</v>
      </c>
      <c r="Q37" s="19">
        <v>8</v>
      </c>
      <c r="R37" s="19">
        <v>8</v>
      </c>
      <c r="S37" s="19">
        <v>8</v>
      </c>
      <c r="T37" s="19">
        <v>8</v>
      </c>
      <c r="U37" s="19" t="s">
        <v>40</v>
      </c>
      <c r="V37" s="19">
        <v>8</v>
      </c>
      <c r="W37" s="60"/>
      <c r="X37" s="50" cm="1">
        <f t="array" ref="X37">SUMPRODUCT(--ISNUMBER(H37:W37), --($H$14:$W$14&lt;&gt;"LH"), --($H$14:$W$14&lt;&gt;"SH"))</f>
        <v>9</v>
      </c>
      <c r="Y37" s="19">
        <f t="shared" si="3"/>
        <v>72</v>
      </c>
      <c r="Z37" s="19"/>
      <c r="AA37" s="19">
        <f t="shared" si="4"/>
        <v>0</v>
      </c>
      <c r="AB37" s="19">
        <f t="shared" si="5"/>
        <v>0</v>
      </c>
      <c r="AC37" s="19"/>
      <c r="AD37" s="19">
        <f t="shared" si="6"/>
        <v>0</v>
      </c>
      <c r="AE37" s="65">
        <v>72</v>
      </c>
    </row>
    <row r="38" spans="2:31" ht="24.95" customHeight="1" x14ac:dyDescent="0.25">
      <c r="B38" s="16">
        <f t="shared" si="2"/>
        <v>24</v>
      </c>
      <c r="C38" s="18" t="s">
        <v>86</v>
      </c>
      <c r="D38" s="18" t="s">
        <v>109</v>
      </c>
      <c r="E38" s="18" t="s">
        <v>64</v>
      </c>
      <c r="F38" s="18" t="s">
        <v>51</v>
      </c>
      <c r="G38" s="17" t="s">
        <v>61</v>
      </c>
      <c r="H38" s="59">
        <v>8</v>
      </c>
      <c r="I38" s="19">
        <v>8</v>
      </c>
      <c r="J38" s="19">
        <v>8</v>
      </c>
      <c r="K38" s="19">
        <v>8</v>
      </c>
      <c r="L38" s="19">
        <v>8</v>
      </c>
      <c r="M38" s="19">
        <v>8</v>
      </c>
      <c r="N38" s="19" t="s">
        <v>40</v>
      </c>
      <c r="O38" s="19">
        <v>8</v>
      </c>
      <c r="P38" s="19">
        <v>8</v>
      </c>
      <c r="Q38" s="19">
        <v>8</v>
      </c>
      <c r="R38" s="19">
        <v>8</v>
      </c>
      <c r="S38" s="19">
        <v>8</v>
      </c>
      <c r="T38" s="19">
        <v>8</v>
      </c>
      <c r="U38" s="19" t="s">
        <v>40</v>
      </c>
      <c r="V38" s="19">
        <v>8</v>
      </c>
      <c r="W38" s="60"/>
      <c r="X38" s="50" cm="1">
        <f t="array" ref="X38">SUMPRODUCT(--ISNUMBER(H38:W38), --($H$14:$W$14&lt;&gt;"LH"), --($H$14:$W$14&lt;&gt;"SH"))</f>
        <v>13</v>
      </c>
      <c r="Y38" s="19">
        <f t="shared" si="3"/>
        <v>104</v>
      </c>
      <c r="Z38" s="19"/>
      <c r="AA38" s="19">
        <f t="shared" si="4"/>
        <v>0</v>
      </c>
      <c r="AB38" s="19">
        <f t="shared" si="5"/>
        <v>0</v>
      </c>
      <c r="AC38" s="19"/>
      <c r="AD38" s="19">
        <f t="shared" si="6"/>
        <v>0</v>
      </c>
      <c r="AE38" s="51"/>
    </row>
    <row r="39" spans="2:31" ht="24.95" customHeight="1" x14ac:dyDescent="0.25">
      <c r="B39" s="16">
        <f t="shared" si="2"/>
        <v>25</v>
      </c>
      <c r="C39" s="18" t="s">
        <v>87</v>
      </c>
      <c r="D39" s="18" t="s">
        <v>110</v>
      </c>
      <c r="E39" s="18" t="s">
        <v>64</v>
      </c>
      <c r="F39" s="18" t="s">
        <v>52</v>
      </c>
      <c r="G39" s="17" t="s">
        <v>53</v>
      </c>
      <c r="H39" s="59">
        <v>8</v>
      </c>
      <c r="I39" s="19">
        <v>8</v>
      </c>
      <c r="J39" s="19">
        <v>8</v>
      </c>
      <c r="K39" s="19">
        <v>8</v>
      </c>
      <c r="L39" s="19">
        <v>8</v>
      </c>
      <c r="M39" s="19">
        <v>8</v>
      </c>
      <c r="N39" s="19" t="s">
        <v>40</v>
      </c>
      <c r="O39" s="19">
        <v>8</v>
      </c>
      <c r="P39" s="19">
        <v>8</v>
      </c>
      <c r="Q39" s="19" t="s">
        <v>42</v>
      </c>
      <c r="R39" s="19" t="s">
        <v>42</v>
      </c>
      <c r="S39" s="19" t="s">
        <v>43</v>
      </c>
      <c r="T39" s="19" t="s">
        <v>43</v>
      </c>
      <c r="U39" s="19" t="s">
        <v>40</v>
      </c>
      <c r="V39" s="19" t="s">
        <v>48</v>
      </c>
      <c r="W39" s="60"/>
      <c r="X39" s="50" cm="1">
        <f t="array" ref="X39">SUMPRODUCT(--ISNUMBER(H39:W39), --($H$14:$W$14&lt;&gt;"LH"), --($H$14:$W$14&lt;&gt;"SH"))</f>
        <v>8</v>
      </c>
      <c r="Y39" s="19">
        <f t="shared" si="3"/>
        <v>64</v>
      </c>
      <c r="Z39" s="19"/>
      <c r="AA39" s="19">
        <f t="shared" si="4"/>
        <v>0</v>
      </c>
      <c r="AB39" s="19">
        <f t="shared" si="5"/>
        <v>0</v>
      </c>
      <c r="AC39" s="19"/>
      <c r="AD39" s="19">
        <f t="shared" si="6"/>
        <v>0</v>
      </c>
      <c r="AE39" s="51"/>
    </row>
    <row r="40" spans="2:31" ht="24.95" customHeight="1" x14ac:dyDescent="0.25">
      <c r="B40" s="16"/>
      <c r="C40" s="18"/>
      <c r="D40" s="18"/>
      <c r="E40" s="66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5"/>
        <v>0</v>
      </c>
      <c r="AC40" s="19"/>
      <c r="AD40" s="19">
        <f t="shared" si="6"/>
        <v>0</v>
      </c>
      <c r="AE40" s="51"/>
    </row>
    <row r="41" spans="2:31" ht="24.95" customHeight="1" x14ac:dyDescent="0.25">
      <c r="B41" s="16">
        <f t="shared" si="2"/>
        <v>27</v>
      </c>
      <c r="C41" s="18" t="s">
        <v>70</v>
      </c>
      <c r="D41" s="18" t="s">
        <v>94</v>
      </c>
      <c r="E41" s="66" t="s">
        <v>115</v>
      </c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>
        <v>8</v>
      </c>
      <c r="S41" s="19">
        <v>8</v>
      </c>
      <c r="T41" s="19"/>
      <c r="U41" s="19">
        <v>8</v>
      </c>
      <c r="V41" s="19">
        <v>8</v>
      </c>
      <c r="W41" s="60"/>
      <c r="X41" s="50" cm="1">
        <f t="array" ref="X41">SUMPRODUCT(--ISNUMBER(H41:W41), --($H$14:$W$14&lt;&gt;"LH"), --($H$14:$W$14&lt;&gt;"SH"))</f>
        <v>4</v>
      </c>
      <c r="Y41" s="19">
        <f t="shared" si="3"/>
        <v>32</v>
      </c>
      <c r="Z41" s="19"/>
      <c r="AA41" s="19">
        <f t="shared" si="4"/>
        <v>0</v>
      </c>
      <c r="AB41" s="19">
        <f t="shared" si="5"/>
        <v>0</v>
      </c>
      <c r="AC41" s="19"/>
      <c r="AD41" s="19">
        <f t="shared" si="6"/>
        <v>0</v>
      </c>
      <c r="AE41" s="51"/>
    </row>
    <row r="42" spans="2:31" ht="24.95" customHeight="1" x14ac:dyDescent="0.25">
      <c r="B42" s="16">
        <f t="shared" si="2"/>
        <v>28</v>
      </c>
      <c r="C42" s="18" t="s">
        <v>111</v>
      </c>
      <c r="D42" s="18" t="s">
        <v>119</v>
      </c>
      <c r="E42" s="66" t="s">
        <v>115</v>
      </c>
      <c r="F42" s="18"/>
      <c r="G42" s="17"/>
      <c r="H42" s="59"/>
      <c r="I42" s="19"/>
      <c r="J42" s="19"/>
      <c r="K42" s="19"/>
      <c r="L42" s="19"/>
      <c r="M42" s="19">
        <v>8</v>
      </c>
      <c r="N42" s="19"/>
      <c r="O42" s="19"/>
      <c r="P42" s="19">
        <v>8</v>
      </c>
      <c r="Q42" s="19"/>
      <c r="R42" s="19">
        <v>8</v>
      </c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3</v>
      </c>
      <c r="Y42" s="19">
        <f t="shared" si="3"/>
        <v>24</v>
      </c>
      <c r="Z42" s="19"/>
      <c r="AA42" s="19">
        <f t="shared" si="4"/>
        <v>0</v>
      </c>
      <c r="AB42" s="19">
        <f t="shared" si="5"/>
        <v>0</v>
      </c>
      <c r="AC42" s="19"/>
      <c r="AD42" s="19">
        <f t="shared" si="6"/>
        <v>0</v>
      </c>
      <c r="AE42" s="51"/>
    </row>
    <row r="43" spans="2:31" ht="24.95" customHeight="1" x14ac:dyDescent="0.25">
      <c r="B43" s="16">
        <f t="shared" si="2"/>
        <v>29</v>
      </c>
      <c r="C43" s="18" t="s">
        <v>85</v>
      </c>
      <c r="D43" s="18" t="s">
        <v>108</v>
      </c>
      <c r="E43" s="66" t="s">
        <v>115</v>
      </c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8</v>
      </c>
      <c r="V43" s="19"/>
      <c r="W43" s="60"/>
      <c r="X43" s="50" cm="1">
        <f t="array" ref="X43">SUMPRODUCT(--ISNUMBER(H43:W43), --($H$14:$W$14&lt;&gt;"LH"), --($H$14:$W$14&lt;&gt;"SH"))</f>
        <v>1</v>
      </c>
      <c r="Y43" s="19">
        <f t="shared" si="3"/>
        <v>8</v>
      </c>
      <c r="Z43" s="19"/>
      <c r="AA43" s="19">
        <f t="shared" si="4"/>
        <v>0</v>
      </c>
      <c r="AB43" s="19">
        <f t="shared" si="5"/>
        <v>0</v>
      </c>
      <c r="AC43" s="19"/>
      <c r="AD43" s="19">
        <f t="shared" si="6"/>
        <v>0</v>
      </c>
      <c r="AE43" s="51"/>
    </row>
    <row r="44" spans="2:31" ht="24.95" customHeight="1" x14ac:dyDescent="0.25">
      <c r="B44" s="16">
        <f t="shared" si="2"/>
        <v>30</v>
      </c>
      <c r="C44" s="18" t="s">
        <v>112</v>
      </c>
      <c r="D44" s="18" t="s">
        <v>118</v>
      </c>
      <c r="E44" s="66" t="s">
        <v>115</v>
      </c>
      <c r="F44" s="18"/>
      <c r="G44" s="17"/>
      <c r="H44" s="59"/>
      <c r="I44" s="19"/>
      <c r="J44" s="19"/>
      <c r="K44" s="19"/>
      <c r="L44" s="19"/>
      <c r="M44" s="19"/>
      <c r="N44" s="19">
        <v>8</v>
      </c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1</v>
      </c>
      <c r="Y44" s="19">
        <f t="shared" si="3"/>
        <v>8</v>
      </c>
      <c r="Z44" s="19"/>
      <c r="AA44" s="19">
        <f t="shared" si="4"/>
        <v>0</v>
      </c>
      <c r="AB44" s="19">
        <f t="shared" si="5"/>
        <v>0</v>
      </c>
      <c r="AC44" s="19"/>
      <c r="AD44" s="19">
        <f t="shared" si="6"/>
        <v>0</v>
      </c>
      <c r="AE44" s="51"/>
    </row>
    <row r="45" spans="2:31" ht="24.95" customHeight="1" x14ac:dyDescent="0.25">
      <c r="B45" s="16">
        <f t="shared" si="2"/>
        <v>31</v>
      </c>
      <c r="C45" s="18" t="s">
        <v>86</v>
      </c>
      <c r="D45" s="18" t="s">
        <v>109</v>
      </c>
      <c r="E45" s="66" t="s">
        <v>115</v>
      </c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8</v>
      </c>
      <c r="U45" s="19"/>
      <c r="V45" s="19"/>
      <c r="W45" s="60"/>
      <c r="X45" s="50" cm="1">
        <f t="array" ref="X45">SUMPRODUCT(--ISNUMBER(H45:W45), --($H$14:$W$14&lt;&gt;"LH"), --($H$14:$W$14&lt;&gt;"SH"))</f>
        <v>1</v>
      </c>
      <c r="Y45" s="19">
        <f t="shared" ref="Y45:Y49" si="9">X45*8</f>
        <v>8</v>
      </c>
      <c r="Z45" s="19"/>
      <c r="AA45" s="19">
        <f t="shared" ref="AA45:AA49" si="10">SUM(H45:W45)-AB45-AD45-Y45</f>
        <v>0</v>
      </c>
      <c r="AB45" s="19">
        <f t="shared" si="5"/>
        <v>0</v>
      </c>
      <c r="AC45" s="19"/>
      <c r="AD45" s="19">
        <f t="shared" si="6"/>
        <v>0</v>
      </c>
      <c r="AE45" s="51"/>
    </row>
    <row r="46" spans="2:31" ht="24.95" customHeight="1" x14ac:dyDescent="0.25">
      <c r="B46" s="16">
        <f t="shared" si="2"/>
        <v>32</v>
      </c>
      <c r="C46" s="18" t="s">
        <v>113</v>
      </c>
      <c r="D46" s="18" t="s">
        <v>117</v>
      </c>
      <c r="E46" s="66" t="s">
        <v>115</v>
      </c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>
        <v>8</v>
      </c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1</v>
      </c>
      <c r="Y46" s="19">
        <f t="shared" si="9"/>
        <v>8</v>
      </c>
      <c r="Z46" s="19"/>
      <c r="AA46" s="19">
        <f t="shared" si="10"/>
        <v>0</v>
      </c>
      <c r="AB46" s="19">
        <f t="shared" si="5"/>
        <v>0</v>
      </c>
      <c r="AC46" s="19"/>
      <c r="AD46" s="19">
        <f t="shared" si="6"/>
        <v>0</v>
      </c>
      <c r="AE46" s="51"/>
    </row>
    <row r="47" spans="2:31" ht="24.95" customHeight="1" x14ac:dyDescent="0.25">
      <c r="B47" s="16">
        <f t="shared" si="2"/>
        <v>33</v>
      </c>
      <c r="C47" s="18" t="s">
        <v>75</v>
      </c>
      <c r="D47" s="18" t="s">
        <v>98</v>
      </c>
      <c r="E47" s="66" t="s">
        <v>115</v>
      </c>
      <c r="F47" s="18"/>
      <c r="G47" s="17"/>
      <c r="H47" s="59"/>
      <c r="I47" s="19"/>
      <c r="J47" s="19"/>
      <c r="K47" s="19"/>
      <c r="L47" s="19"/>
      <c r="M47" s="19">
        <v>8</v>
      </c>
      <c r="N47" s="19"/>
      <c r="O47" s="19"/>
      <c r="P47" s="19"/>
      <c r="Q47" s="19">
        <v>8</v>
      </c>
      <c r="R47" s="19"/>
      <c r="S47" s="19"/>
      <c r="T47" s="19"/>
      <c r="U47" s="19"/>
      <c r="V47" s="19"/>
      <c r="W47" s="60"/>
      <c r="X47" s="50" cm="1">
        <f t="array" ref="X47">SUMPRODUCT(--ISNUMBER(H47:W47), --($H$14:$W$14&lt;&gt;"LH"), --($H$14:$W$14&lt;&gt;"SH"))</f>
        <v>2</v>
      </c>
      <c r="Y47" s="19">
        <f t="shared" si="9"/>
        <v>16</v>
      </c>
      <c r="Z47" s="19"/>
      <c r="AA47" s="19">
        <f t="shared" si="10"/>
        <v>0</v>
      </c>
      <c r="AB47" s="19">
        <f t="shared" si="5"/>
        <v>0</v>
      </c>
      <c r="AC47" s="19"/>
      <c r="AD47" s="19">
        <f t="shared" si="6"/>
        <v>0</v>
      </c>
      <c r="AE47" s="51"/>
    </row>
    <row r="48" spans="2:31" ht="24.95" customHeight="1" x14ac:dyDescent="0.25">
      <c r="B48" s="16">
        <f t="shared" si="2"/>
        <v>34</v>
      </c>
      <c r="C48" s="18" t="s">
        <v>81</v>
      </c>
      <c r="D48" s="18" t="s">
        <v>104</v>
      </c>
      <c r="E48" s="66" t="s">
        <v>115</v>
      </c>
      <c r="F48" s="18"/>
      <c r="G48" s="17"/>
      <c r="H48" s="59"/>
      <c r="I48" s="19"/>
      <c r="J48" s="19"/>
      <c r="K48" s="19"/>
      <c r="L48" s="19"/>
      <c r="M48" s="19"/>
      <c r="N48" s="19"/>
      <c r="O48" s="19">
        <v>8</v>
      </c>
      <c r="P48" s="19"/>
      <c r="Q48" s="19"/>
      <c r="R48" s="19"/>
      <c r="S48" s="19"/>
      <c r="T48" s="19"/>
      <c r="U48" s="19"/>
      <c r="V48" s="19"/>
      <c r="W48" s="60"/>
      <c r="X48" s="50" cm="1">
        <f t="array" ref="X48">SUMPRODUCT(--ISNUMBER(H48:W48), --($H$14:$W$14&lt;&gt;"LH"), --($H$14:$W$14&lt;&gt;"SH"))</f>
        <v>1</v>
      </c>
      <c r="Y48" s="19">
        <f t="shared" si="9"/>
        <v>8</v>
      </c>
      <c r="Z48" s="19"/>
      <c r="AA48" s="19">
        <f t="shared" si="10"/>
        <v>0</v>
      </c>
      <c r="AB48" s="19">
        <f t="shared" si="5"/>
        <v>0</v>
      </c>
      <c r="AC48" s="19"/>
      <c r="AD48" s="19">
        <f t="shared" si="6"/>
        <v>0</v>
      </c>
      <c r="AE48" s="51"/>
    </row>
    <row r="49" spans="2:31" ht="24.95" customHeight="1" x14ac:dyDescent="0.25">
      <c r="B49" s="16">
        <f t="shared" si="2"/>
        <v>35</v>
      </c>
      <c r="C49" s="18" t="s">
        <v>84</v>
      </c>
      <c r="D49" s="18" t="s">
        <v>107</v>
      </c>
      <c r="E49" s="66" t="s">
        <v>115</v>
      </c>
      <c r="F49" s="18"/>
      <c r="G49" s="17"/>
      <c r="H49" s="5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v>8</v>
      </c>
      <c r="U49" s="19">
        <v>8</v>
      </c>
      <c r="V49" s="19"/>
      <c r="W49" s="60"/>
      <c r="X49" s="50" cm="1">
        <f t="array" ref="X49">SUMPRODUCT(--ISNUMBER(H49:W49), --($H$14:$W$14&lt;&gt;"LH"), --($H$14:$W$14&lt;&gt;"SH"))</f>
        <v>2</v>
      </c>
      <c r="Y49" s="19">
        <f t="shared" si="9"/>
        <v>16</v>
      </c>
      <c r="Z49" s="19"/>
      <c r="AA49" s="19">
        <f t="shared" si="10"/>
        <v>0</v>
      </c>
      <c r="AB49" s="19">
        <f t="shared" si="5"/>
        <v>0</v>
      </c>
      <c r="AC49" s="19"/>
      <c r="AD49" s="19">
        <f t="shared" si="6"/>
        <v>0</v>
      </c>
      <c r="AE49" s="51"/>
    </row>
    <row r="50" spans="2:31" ht="24.95" customHeight="1" x14ac:dyDescent="0.25">
      <c r="B50" s="16">
        <f t="shared" si="2"/>
        <v>36</v>
      </c>
      <c r="C50" s="18" t="s">
        <v>87</v>
      </c>
      <c r="D50" s="18" t="s">
        <v>110</v>
      </c>
      <c r="E50" s="66" t="s">
        <v>115</v>
      </c>
      <c r="F50" s="18"/>
      <c r="G50" s="17"/>
      <c r="H50" s="59"/>
      <c r="I50" s="19"/>
      <c r="J50" s="19"/>
      <c r="K50" s="19"/>
      <c r="L50" s="19"/>
      <c r="M50" s="19"/>
      <c r="N50" s="19"/>
      <c r="O50" s="19"/>
      <c r="P50" s="19">
        <v>8</v>
      </c>
      <c r="Q50" s="19"/>
      <c r="R50" s="19"/>
      <c r="S50" s="19"/>
      <c r="T50" s="19"/>
      <c r="U50" s="19"/>
      <c r="V50" s="19"/>
      <c r="W50" s="60"/>
      <c r="X50" s="50" cm="1">
        <f t="array" ref="X50">SUMPRODUCT(--ISNUMBER(H50:W50), --($H$14:$W$14&lt;&gt;"LH"), --($H$14:$W$14&lt;&gt;"SH"))</f>
        <v>1</v>
      </c>
      <c r="Y50" s="19">
        <f t="shared" si="3"/>
        <v>8</v>
      </c>
      <c r="Z50" s="19"/>
      <c r="AA50" s="19">
        <f t="shared" si="4"/>
        <v>0</v>
      </c>
      <c r="AB50" s="19">
        <f t="shared" si="5"/>
        <v>0</v>
      </c>
      <c r="AC50" s="19"/>
      <c r="AD50" s="19">
        <f t="shared" si="6"/>
        <v>0</v>
      </c>
      <c r="AE50" s="51"/>
    </row>
    <row r="51" spans="2:31" ht="22.5" customHeight="1" thickBot="1" x14ac:dyDescent="0.3">
      <c r="B51" s="19"/>
      <c r="C51" s="18"/>
      <c r="D51" s="18"/>
      <c r="E51" s="80" t="s">
        <v>57</v>
      </c>
      <c r="F51" s="81"/>
      <c r="G51" s="29">
        <f>SUM(H51:W51)</f>
        <v>300</v>
      </c>
      <c r="H51" s="61">
        <f>COUNT(H15:H50)</f>
        <v>21</v>
      </c>
      <c r="I51" s="62">
        <f t="shared" ref="I51:W51" si="11">COUNT(I15:I50)</f>
        <v>21</v>
      </c>
      <c r="J51" s="62">
        <f t="shared" si="11"/>
        <v>21</v>
      </c>
      <c r="K51" s="62">
        <f t="shared" si="11"/>
        <v>21</v>
      </c>
      <c r="L51" s="62">
        <f t="shared" si="11"/>
        <v>18</v>
      </c>
      <c r="M51" s="62">
        <f t="shared" si="11"/>
        <v>20</v>
      </c>
      <c r="N51" s="62">
        <f t="shared" si="11"/>
        <v>21</v>
      </c>
      <c r="O51" s="62">
        <f t="shared" si="11"/>
        <v>21</v>
      </c>
      <c r="P51" s="62">
        <f t="shared" si="11"/>
        <v>21</v>
      </c>
      <c r="Q51" s="62">
        <f t="shared" si="11"/>
        <v>21</v>
      </c>
      <c r="R51" s="62">
        <f t="shared" si="11"/>
        <v>21</v>
      </c>
      <c r="S51" s="62">
        <f t="shared" si="11"/>
        <v>17</v>
      </c>
      <c r="T51" s="62">
        <f t="shared" si="11"/>
        <v>17</v>
      </c>
      <c r="U51" s="62">
        <f t="shared" si="11"/>
        <v>20</v>
      </c>
      <c r="V51" s="62">
        <f t="shared" si="11"/>
        <v>19</v>
      </c>
      <c r="W51" s="63">
        <f t="shared" si="11"/>
        <v>0</v>
      </c>
      <c r="X51" s="46">
        <f>SUM(X15:X50)</f>
        <v>300</v>
      </c>
      <c r="Y51" s="47">
        <f t="shared" ref="Y51:AE51" si="12">SUM(Y15:Y50)</f>
        <v>2400</v>
      </c>
      <c r="Z51" s="47">
        <f t="shared" si="12"/>
        <v>0</v>
      </c>
      <c r="AA51" s="47">
        <f t="shared" si="12"/>
        <v>52</v>
      </c>
      <c r="AB51" s="47">
        <f t="shared" si="12"/>
        <v>0</v>
      </c>
      <c r="AC51" s="47">
        <f t="shared" si="12"/>
        <v>0</v>
      </c>
      <c r="AD51" s="47">
        <f t="shared" si="12"/>
        <v>0</v>
      </c>
      <c r="AE51" s="47">
        <f t="shared" si="12"/>
        <v>788</v>
      </c>
    </row>
    <row r="53" spans="2:31" ht="15.75" x14ac:dyDescent="0.25">
      <c r="B53" s="20" t="s">
        <v>28</v>
      </c>
      <c r="H53" s="76" t="s">
        <v>33</v>
      </c>
      <c r="I53" s="76"/>
      <c r="J53" s="76"/>
      <c r="K53" s="76"/>
      <c r="R53" s="76" t="s">
        <v>34</v>
      </c>
      <c r="S53" s="76"/>
      <c r="T53" s="76"/>
      <c r="U53" s="76"/>
      <c r="Z53" s="4"/>
      <c r="AA53" s="1" t="s">
        <v>16</v>
      </c>
      <c r="AB53" s="41"/>
      <c r="AC53" s="2"/>
      <c r="AD53" s="38"/>
      <c r="AE53" s="4"/>
    </row>
    <row r="54" spans="2:31" ht="15.75" x14ac:dyDescent="0.25">
      <c r="U54" s="3"/>
      <c r="Z54" s="38"/>
      <c r="AA54" s="24" t="s">
        <v>17</v>
      </c>
      <c r="AB54" s="42"/>
      <c r="AC54" s="6"/>
      <c r="AD54" s="38"/>
      <c r="AE54" s="3"/>
    </row>
    <row r="55" spans="2:31" ht="15.75" x14ac:dyDescent="0.25">
      <c r="U55" s="3"/>
      <c r="Z55" s="38"/>
      <c r="AA55" s="24" t="s">
        <v>18</v>
      </c>
      <c r="AB55" s="42"/>
      <c r="AC55" s="6"/>
      <c r="AD55" s="38"/>
      <c r="AE55" s="3"/>
    </row>
    <row r="56" spans="2:31" ht="15.75" x14ac:dyDescent="0.25">
      <c r="B56" s="77" t="s">
        <v>120</v>
      </c>
      <c r="C56" s="77"/>
      <c r="D56" s="77"/>
      <c r="E56" s="25"/>
      <c r="F56" s="25"/>
      <c r="G56" s="25"/>
      <c r="H56" s="77"/>
      <c r="I56" s="77"/>
      <c r="J56" s="77"/>
      <c r="K56" s="77"/>
      <c r="L56" s="77"/>
      <c r="M56" s="77"/>
      <c r="N56" s="77"/>
      <c r="O56" s="26"/>
      <c r="P56" s="26"/>
      <c r="Q56" s="26"/>
      <c r="R56" s="77"/>
      <c r="S56" s="77"/>
      <c r="T56" s="77"/>
      <c r="U56" s="77"/>
      <c r="V56" s="77"/>
      <c r="W56" s="77"/>
      <c r="X56" s="77"/>
      <c r="Z56" s="38"/>
      <c r="AA56" s="24" t="s">
        <v>19</v>
      </c>
      <c r="AB56" s="42"/>
      <c r="AC56" s="6"/>
      <c r="AD56" s="38"/>
      <c r="AE56" s="3"/>
    </row>
    <row r="57" spans="2:31" ht="15.75" customHeight="1" x14ac:dyDescent="0.25">
      <c r="B57" s="79" t="s">
        <v>29</v>
      </c>
      <c r="C57" s="79"/>
      <c r="D57" s="79"/>
      <c r="H57" s="78" t="s">
        <v>30</v>
      </c>
      <c r="I57" s="78"/>
      <c r="J57" s="78"/>
      <c r="K57" s="78"/>
      <c r="L57" s="78"/>
      <c r="M57" s="78"/>
      <c r="N57" s="78"/>
      <c r="O57" s="13"/>
      <c r="P57" s="13"/>
      <c r="Q57" s="13"/>
      <c r="R57" s="78" t="s">
        <v>31</v>
      </c>
      <c r="S57" s="78"/>
      <c r="T57" s="78"/>
      <c r="U57" s="78"/>
      <c r="V57" s="78"/>
      <c r="W57" s="78"/>
      <c r="X57" s="78"/>
      <c r="Z57" s="38"/>
      <c r="AA57" s="24" t="s">
        <v>20</v>
      </c>
      <c r="AB57" s="7"/>
      <c r="AC57" s="38"/>
      <c r="AD57" s="38"/>
      <c r="AE57" s="3"/>
    </row>
    <row r="58" spans="2:31" ht="15.75" x14ac:dyDescent="0.25">
      <c r="U58" s="3"/>
      <c r="Z58" s="38"/>
      <c r="AA58" s="24" t="s">
        <v>21</v>
      </c>
      <c r="AB58" s="42"/>
      <c r="AC58" s="6"/>
      <c r="AD58" s="38"/>
      <c r="AE58" s="3"/>
    </row>
    <row r="59" spans="2:31" ht="15.75" x14ac:dyDescent="0.25">
      <c r="U59" s="3"/>
      <c r="Z59" s="38"/>
      <c r="AA59" s="24" t="s">
        <v>22</v>
      </c>
      <c r="AB59" s="42"/>
      <c r="AC59" s="6"/>
      <c r="AD59" s="38"/>
      <c r="AE59" s="3"/>
    </row>
    <row r="60" spans="2:31" ht="15.75" x14ac:dyDescent="0.25">
      <c r="B60" s="21"/>
      <c r="C60" s="21"/>
      <c r="D60" s="21"/>
      <c r="E60" s="21"/>
      <c r="F60" s="21"/>
      <c r="G60" s="21"/>
      <c r="H60" s="21"/>
      <c r="I60" s="22"/>
      <c r="J60" s="22"/>
      <c r="K60" s="21"/>
      <c r="L60" s="21"/>
      <c r="M60" s="22"/>
      <c r="U60" s="7"/>
      <c r="Z60" s="38"/>
      <c r="AA60" s="24" t="s">
        <v>23</v>
      </c>
      <c r="AB60" s="7"/>
      <c r="AC60" s="38"/>
      <c r="AD60" s="38"/>
      <c r="AE60" s="3"/>
    </row>
    <row r="61" spans="2:31" ht="15.75" x14ac:dyDescent="0.25">
      <c r="B61" s="21" t="s">
        <v>32</v>
      </c>
      <c r="C61" s="23"/>
      <c r="D61" s="23"/>
      <c r="E61" s="23"/>
      <c r="F61" s="23"/>
      <c r="G61" s="23"/>
      <c r="H61" s="23"/>
      <c r="I61" s="23"/>
      <c r="J61" s="24"/>
      <c r="K61" s="24"/>
      <c r="L61" s="23"/>
      <c r="M61" s="23"/>
      <c r="N61" s="22"/>
      <c r="O61" s="21"/>
      <c r="U61" s="3"/>
      <c r="Z61" s="38"/>
      <c r="AA61" s="24" t="s">
        <v>24</v>
      </c>
      <c r="AB61" s="7"/>
      <c r="AC61" s="38"/>
      <c r="AD61" s="38"/>
      <c r="AE61" s="3"/>
    </row>
    <row r="62" spans="2:31" ht="15.75" x14ac:dyDescent="0.25">
      <c r="B62" s="22"/>
      <c r="C62" s="23"/>
      <c r="D62" s="24"/>
      <c r="E62" s="24"/>
      <c r="F62" s="24"/>
      <c r="G62" s="24"/>
      <c r="H62" s="24"/>
      <c r="I62" s="24"/>
      <c r="J62" s="24"/>
      <c r="K62" s="24"/>
      <c r="L62" s="23"/>
      <c r="M62" s="23"/>
      <c r="N62" s="22"/>
      <c r="O62" s="21"/>
      <c r="U62" s="3"/>
      <c r="Z62" s="38"/>
      <c r="AA62" s="24" t="s">
        <v>25</v>
      </c>
      <c r="AB62" s="7"/>
      <c r="AC62" s="38"/>
      <c r="AD62" s="38"/>
      <c r="AE62" s="3"/>
    </row>
    <row r="63" spans="2:31" ht="15.75" x14ac:dyDescent="0.25">
      <c r="B63" s="22"/>
      <c r="C63" s="2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2"/>
      <c r="O63" s="21"/>
      <c r="U63" s="3"/>
      <c r="Z63" s="38"/>
      <c r="AA63" s="40" t="s">
        <v>26</v>
      </c>
      <c r="AB63" s="43"/>
      <c r="AC63" s="39"/>
      <c r="AD63" s="38"/>
      <c r="AE63" s="3"/>
    </row>
    <row r="64" spans="2:31" ht="15.75" x14ac:dyDescent="0.25">
      <c r="U64" s="3"/>
      <c r="Z64" s="39"/>
      <c r="AA64" s="40" t="s">
        <v>27</v>
      </c>
      <c r="AB64" s="43"/>
      <c r="AC64" s="39"/>
      <c r="AD64" s="39"/>
      <c r="AE64" s="9"/>
    </row>
    <row r="65" spans="2:31" ht="15.75" x14ac:dyDescent="0.25">
      <c r="B65" s="20"/>
      <c r="C65" s="20"/>
      <c r="D65" s="20"/>
      <c r="E65" s="20"/>
      <c r="F65" s="20"/>
      <c r="G65" s="20"/>
      <c r="H65" s="20"/>
      <c r="I65" s="20"/>
      <c r="U65" s="8"/>
      <c r="Z65" s="39"/>
      <c r="AD65" s="39"/>
      <c r="AE65" s="9"/>
    </row>
    <row r="66" spans="2:31" ht="15.75" x14ac:dyDescent="0.25">
      <c r="U66" s="8"/>
      <c r="Z66" s="39"/>
      <c r="AD66" s="39"/>
      <c r="AE66" s="9"/>
    </row>
  </sheetData>
  <sheetProtection insertRows="0"/>
  <mergeCells count="29">
    <mergeCell ref="B12:B14"/>
    <mergeCell ref="E51:F51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53:U53"/>
    <mergeCell ref="R56:X56"/>
    <mergeCell ref="R57:X57"/>
    <mergeCell ref="B57:D57"/>
    <mergeCell ref="H56:N56"/>
    <mergeCell ref="H57:N57"/>
    <mergeCell ref="B56:D56"/>
    <mergeCell ref="H53:K53"/>
    <mergeCell ref="C8:F8"/>
    <mergeCell ref="C6:AE6"/>
    <mergeCell ref="D10:E10"/>
    <mergeCell ref="D9:E9"/>
    <mergeCell ref="C12:C14"/>
    <mergeCell ref="D12:D14"/>
  </mergeCells>
  <conditionalFormatting sqref="C15:AE50">
    <cfRule type="containsBlanks" dxfId="26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5" priority="31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50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8">
      <formula>EXACT(H15, "S")</formula>
    </cfRule>
    <cfRule type="expression" dxfId="8" priority="19">
      <formula>EXACT(H15, "R")</formula>
    </cfRule>
    <cfRule type="expression" dxfId="7" priority="20">
      <formula>EXACT(H15, "T")</formula>
    </cfRule>
    <cfRule type="containsText" dxfId="6" priority="22" operator="containsText" text="SH">
      <formula>NOT(ISERROR(SEARCH("SH",H15)))</formula>
    </cfRule>
    <cfRule type="expression" dxfId="5" priority="23">
      <formula>EXACT(H15, "RS")</formula>
    </cfRule>
    <cfRule type="containsText" dxfId="4" priority="25" operator="containsText" text="RH">
      <formula>NOT(ISERROR(SEARCH("RH",H15)))</formula>
    </cfRule>
    <cfRule type="expression" dxfId="3" priority="26">
      <formula>EXACT(H15, "LR")</formula>
    </cfRule>
    <cfRule type="expression" dxfId="2" priority="27">
      <formula>EXACT(H15, "L")</formula>
    </cfRule>
    <cfRule type="expression" dxfId="1" priority="28">
      <formula>EXACT(H15, "D")</formula>
    </cfRule>
    <cfRule type="expression" dxfId="0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9" scale="41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H15:W19 R20:W20 H20:P20 H21:W50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FORM</vt:lpstr>
      <vt:lpstr>Sheet3</vt:lpstr>
      <vt:lpstr>'SUMMARY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PMGI 100625</cp:lastModifiedBy>
  <cp:lastPrinted>2025-10-02T07:41:10Z</cp:lastPrinted>
  <dcterms:created xsi:type="dcterms:W3CDTF">2025-09-25T07:44:03Z</dcterms:created>
  <dcterms:modified xsi:type="dcterms:W3CDTF">2025-10-02T08:16:15Z</dcterms:modified>
</cp:coreProperties>
</file>