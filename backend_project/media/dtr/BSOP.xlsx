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148F53DD-CFFD-4789-90E3-61488003D878}" xr6:coauthVersionLast="47" xr6:coauthVersionMax="47" xr10:uidLastSave="{00000000-0000-0000-0000-000000000000}"/>
  <bookViews>
    <workbookView xWindow="-120" yWindow="-120" windowWidth="29040" windowHeight="15720" xr2:uid="{05BC1890-48E5-4253-B660-38D036B8E33C}"/>
  </bookViews>
  <sheets>
    <sheet name="BSOP 09-16-30-25" sheetId="1" r:id="rId1"/>
  </sheets>
  <definedNames>
    <definedName name="_xlnm.Print_Area" localSheetId="0">'BSOP 09-16-30-25'!$A$1:$AE$39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6" i="1" l="1"/>
  <c r="X24" i="1" a="1"/>
  <c r="X24" i="1" s="1"/>
  <c r="Y24" i="1" s="1"/>
  <c r="X16" i="1" a="1"/>
  <c r="X16" i="1" s="1"/>
  <c r="Y16" i="1" s="1"/>
  <c r="X17" i="1" a="1"/>
  <c r="X17" i="1" s="1"/>
  <c r="Y17" i="1" s="1"/>
  <c r="X18" i="1" a="1"/>
  <c r="X18" i="1" s="1"/>
  <c r="Y18" i="1" s="1"/>
  <c r="X19" i="1" a="1"/>
  <c r="X19" i="1" s="1"/>
  <c r="Y19" i="1" s="1"/>
  <c r="X20" i="1" a="1"/>
  <c r="X20" i="1" s="1"/>
  <c r="Y20" i="1" s="1"/>
  <c r="X21" i="1" a="1"/>
  <c r="X21" i="1" s="1"/>
  <c r="Y21" i="1" s="1"/>
  <c r="X22" i="1" a="1"/>
  <c r="X22" i="1" s="1"/>
  <c r="Y22" i="1" s="1"/>
  <c r="X23" i="1" a="1"/>
  <c r="X23" i="1" s="1"/>
  <c r="Y23" i="1" s="1"/>
  <c r="X25" i="1" a="1"/>
  <c r="X25" i="1" s="1"/>
  <c r="Y25" i="1" s="1"/>
  <c r="X15" i="1" a="1"/>
  <c r="X15" i="1" s="1"/>
  <c r="Y15" i="1" s="1"/>
  <c r="AB15" i="1"/>
  <c r="AD15" i="1"/>
  <c r="AB16" i="1"/>
  <c r="AB17" i="1"/>
  <c r="AB18" i="1"/>
  <c r="AB19" i="1"/>
  <c r="AB20" i="1"/>
  <c r="AB21" i="1"/>
  <c r="AB23" i="1"/>
  <c r="AB24" i="1"/>
  <c r="AB25" i="1"/>
  <c r="AD16" i="1"/>
  <c r="AD17" i="1"/>
  <c r="AD18" i="1"/>
  <c r="AD19" i="1"/>
  <c r="AD20" i="1"/>
  <c r="AD21" i="1"/>
  <c r="AD22" i="1"/>
  <c r="AD23" i="1"/>
  <c r="AD24" i="1"/>
  <c r="AD25" i="1"/>
  <c r="B16" i="1"/>
  <c r="B17" i="1"/>
  <c r="B18" i="1"/>
  <c r="B19" i="1"/>
  <c r="B20" i="1"/>
  <c r="B21" i="1"/>
  <c r="B22" i="1"/>
  <c r="B23" i="1"/>
  <c r="B24" i="1"/>
  <c r="B25" i="1"/>
  <c r="B15" i="1"/>
  <c r="Q26" i="1"/>
  <c r="W26" i="1"/>
  <c r="X26" i="1" l="1"/>
  <c r="AA23" i="1"/>
  <c r="AA22" i="1"/>
  <c r="AA21" i="1"/>
  <c r="AA16" i="1"/>
  <c r="AA25" i="1"/>
  <c r="AA24" i="1"/>
  <c r="AA17" i="1"/>
  <c r="AA19" i="1"/>
  <c r="AA18" i="1"/>
  <c r="AA20" i="1"/>
  <c r="I26" i="1" l="1"/>
  <c r="J26" i="1"/>
  <c r="K26" i="1"/>
  <c r="L26" i="1"/>
  <c r="M26" i="1"/>
  <c r="N26" i="1"/>
  <c r="O26" i="1"/>
  <c r="P26" i="1"/>
  <c r="R26" i="1"/>
  <c r="S26" i="1"/>
  <c r="T26" i="1"/>
  <c r="U26" i="1"/>
  <c r="V26" i="1"/>
  <c r="AC26" i="1"/>
  <c r="Z26" i="1"/>
  <c r="AE26" i="1"/>
  <c r="G26" i="1" l="1"/>
  <c r="AD26" i="1"/>
  <c r="AB26" i="1"/>
  <c r="AA26" i="1" l="1"/>
  <c r="Y2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<sst xmlns="http://schemas.openxmlformats.org/spreadsheetml/2006/main" count="120" uniqueCount="84">
  <si>
    <t>PROFESSIONAL MAINTENANCE GROUP, INC.</t>
  </si>
  <si>
    <t xml:space="preserve">ATTENDANCE SUMMARY FORM </t>
  </si>
  <si>
    <t>FROM:</t>
  </si>
  <si>
    <t xml:space="preserve">TO: </t>
  </si>
  <si>
    <t>NO.</t>
  </si>
  <si>
    <t>EMPLOYEE NAME</t>
  </si>
  <si>
    <t>TOTAL</t>
  </si>
  <si>
    <t>hours(s)</t>
  </si>
  <si>
    <t>Late/Undertime</t>
  </si>
  <si>
    <t>(minute)</t>
  </si>
  <si>
    <t>OT</t>
  </si>
  <si>
    <t>Regular</t>
  </si>
  <si>
    <t>Special</t>
  </si>
  <si>
    <t>Holiday</t>
  </si>
  <si>
    <t>hour</t>
  </si>
  <si>
    <t>Reg. Days</t>
  </si>
  <si>
    <t>LEGENDS:</t>
  </si>
  <si>
    <t>A = ABSENT</t>
  </si>
  <si>
    <t>D = DAY-OFF</t>
  </si>
  <si>
    <t>L = LEAVE</t>
  </si>
  <si>
    <t>LR = LEAVE W/ RELIEVER</t>
  </si>
  <si>
    <t>RH = REGULAR HOLIDAY (8)</t>
  </si>
  <si>
    <t>RS = RESIGNED</t>
  </si>
  <si>
    <t>SH = SPECIAL HOLIDAY (8)</t>
  </si>
  <si>
    <t>T = TRANSFERRED</t>
  </si>
  <si>
    <t>R = RELIEVED</t>
  </si>
  <si>
    <t>S = SUSPENDED W/O RELIEVER</t>
  </si>
  <si>
    <t>SR = SUSPENDED W/ RELIEVER</t>
  </si>
  <si>
    <t xml:space="preserve">PREPARED BY: </t>
  </si>
  <si>
    <t>SUPERVISOR</t>
  </si>
  <si>
    <t>OPERATIONS OFFICER</t>
  </si>
  <si>
    <t>CLIENT REPRESENTATIVE</t>
  </si>
  <si>
    <t>Note:</t>
  </si>
  <si>
    <t>CHECKED BY:</t>
  </si>
  <si>
    <t>NOTED BY:</t>
  </si>
  <si>
    <t>Reg Holiday</t>
  </si>
  <si>
    <t>Unwork</t>
  </si>
  <si>
    <t>Night Diff</t>
  </si>
  <si>
    <t>SHIFT</t>
  </si>
  <si>
    <t>TIME</t>
  </si>
  <si>
    <t>D</t>
  </si>
  <si>
    <t>A</t>
  </si>
  <si>
    <t>POSITION</t>
  </si>
  <si>
    <t>PM NO.</t>
  </si>
  <si>
    <t>TEAMLEADER</t>
  </si>
  <si>
    <t>AM SHIFT</t>
  </si>
  <si>
    <t>HOUSEKEEPING</t>
  </si>
  <si>
    <t>OPS-FRM009-01-10012025</t>
  </si>
  <si>
    <t>GRAND TOTAL</t>
  </si>
  <si>
    <t>PROJECT</t>
  </si>
  <si>
    <t>BONIFACIO STOP OVER PAVILION</t>
  </si>
  <si>
    <t>SABERON, ELMA</t>
  </si>
  <si>
    <t>PM0834</t>
  </si>
  <si>
    <t>8AM-9PM</t>
  </si>
  <si>
    <t>TUE</t>
  </si>
  <si>
    <t>WED</t>
  </si>
  <si>
    <t>THU</t>
  </si>
  <si>
    <t>FRI</t>
  </si>
  <si>
    <t>SAT</t>
  </si>
  <si>
    <t>SUN</t>
  </si>
  <si>
    <t>MON</t>
  </si>
  <si>
    <t>ADONIS, EVASCO</t>
  </si>
  <si>
    <t>6AM-7PM</t>
  </si>
  <si>
    <t>MESSENGER</t>
  </si>
  <si>
    <t>CALUNGSOD, JIMBOY</t>
  </si>
  <si>
    <t>SAHAGUN, JENNILYN</t>
  </si>
  <si>
    <t>MANSUETO, WILSON JR.</t>
  </si>
  <si>
    <t>HERRADURA, BRYAN</t>
  </si>
  <si>
    <t>PM00926</t>
  </si>
  <si>
    <t>PM02881</t>
  </si>
  <si>
    <t>PM02759</t>
  </si>
  <si>
    <t>PM01460</t>
  </si>
  <si>
    <t>PM01427</t>
  </si>
  <si>
    <t>MID SHIFT</t>
  </si>
  <si>
    <t>LIZANO, MARLON</t>
  </si>
  <si>
    <t>PM01591</t>
  </si>
  <si>
    <t>NIGHT SHIFT</t>
  </si>
  <si>
    <t>7AM-8PM</t>
  </si>
  <si>
    <t>9AM-10PM</t>
  </si>
  <si>
    <t>7PM-8AM</t>
  </si>
  <si>
    <t>BASANES, JAYVEE</t>
  </si>
  <si>
    <t>PM03869</t>
  </si>
  <si>
    <t>DAY OFF RELIEVER</t>
  </si>
  <si>
    <t xml:space="preserve">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</si>
</sst>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dd\,\ yyyy"/>
  </numFmts>
  <fonts count="16" x14ac:knownFonts="1">
    <font>
      <sz val="11"/>
      <color theme="1"/>
      <name val="Aptos Narrow"/>
      <family val="2"/>
      <scheme val="minor"/>
    </font>
    <font>
      <sz val="12"/>
      <color indexed="8"/>
      <name val="Leelawadee"/>
      <family val="2"/>
    </font>
    <font>
      <b/>
      <sz val="12"/>
      <color indexed="8"/>
      <name val="Leelawadee"/>
      <family val="2"/>
    </font>
    <font>
      <sz val="12"/>
      <name val="Leelawadee"/>
      <family val="2"/>
    </font>
    <font>
      <sz val="11"/>
      <color theme="1"/>
      <name val="Leelawadee"/>
      <family val="2"/>
    </font>
    <font>
      <b/>
      <sz val="11"/>
      <color theme="1"/>
      <name val="Leelawadee"/>
      <family val="2"/>
    </font>
    <font>
      <b/>
      <sz val="12"/>
      <name val="Leelawadee"/>
      <family val="2"/>
    </font>
    <font>
      <b/>
      <sz val="12"/>
      <color indexed="8"/>
      <name val="Leelawadee"/>
      <family val="2"/>
    </font>
    <font>
      <sz val="12"/>
      <name val="Leelawadee"/>
      <family val="2"/>
    </font>
    <font>
      <sz val="12"/>
      <color indexed="8"/>
      <name val="Leelawadee"/>
      <family val="2"/>
    </font>
    <font>
      <b/>
      <sz val="12"/>
      <name val="Leelawadee"/>
      <family val="2"/>
    </font>
    <font>
      <b/>
      <sz val="8"/>
      <color theme="1" tint="0.24997711111789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Leelawadee"/>
      <family val="2"/>
    </font>
    <font>
      <sz val="10"/>
      <color theme="1"/>
      <name val="Leelawadee"/>
      <family val="2"/>
    </font>
    <font>
      <sz val="12"/>
      <color theme="1"/>
      <name val="Leelawadee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-0.249977111117893"/>
        <bgColor indexed="64"/>
      </patternFill>
    </fill>
  </fills>
  <borders count="3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8">
    <xf numFmtId="0" fontId="0" fillId="0" borderId="0" xfId="0"/>
    <xf numFmtId="0" fontId="6" fillId="2" borderId="0" xfId="0" applyFont="1" applyFill="1" applyAlignment="1">
      <alignment horizontal="left"/>
    </xf>
    <xf numFmtId="0" fontId="7" fillId="2" borderId="0" xfId="0" applyFont="1" applyFill="1" applyAlignment="1">
      <alignment horizontal="center"/>
    </xf>
    <xf numFmtId="0" fontId="8" fillId="2" borderId="0" xfId="0" applyFont="1" applyFill="1"/>
    <xf numFmtId="0" fontId="6" fillId="2" borderId="0" xfId="0" applyFont="1" applyFill="1" applyAlignment="1">
      <alignment horizontal="center"/>
    </xf>
    <xf numFmtId="0" fontId="0" fillId="2" borderId="0" xfId="0" applyFill="1"/>
    <xf numFmtId="0" fontId="9" fillId="2" borderId="0" xfId="0" applyFont="1" applyFill="1" applyAlignment="1">
      <alignment horizontal="center"/>
    </xf>
    <xf numFmtId="0" fontId="8" fillId="2" borderId="0" xfId="0" applyFont="1" applyFill="1" applyAlignment="1">
      <alignment horizontal="left"/>
    </xf>
    <xf numFmtId="0" fontId="9" fillId="2" borderId="0" xfId="0" applyFont="1" applyFill="1" applyAlignment="1">
      <alignment vertical="center"/>
    </xf>
    <xf numFmtId="0" fontId="9" fillId="2" borderId="0" xfId="0" applyFont="1" applyFill="1" applyAlignment="1">
      <alignment vertical="center" wrapText="1"/>
    </xf>
    <xf numFmtId="0" fontId="1" fillId="2" borderId="1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0" fontId="1" fillId="2" borderId="10" xfId="0" applyFont="1" applyFill="1" applyBorder="1" applyAlignment="1">
      <alignment vertical="center"/>
    </xf>
    <xf numFmtId="0" fontId="5" fillId="2" borderId="0" xfId="0" applyFont="1" applyFill="1" applyAlignment="1">
      <alignment vertical="center" wrapText="1"/>
    </xf>
    <xf numFmtId="0" fontId="5" fillId="2" borderId="0" xfId="0" applyFont="1" applyFill="1" applyAlignment="1">
      <alignment horizontal="right"/>
    </xf>
    <xf numFmtId="164" fontId="5" fillId="2" borderId="0" xfId="0" applyNumberFormat="1" applyFont="1" applyFill="1"/>
    <xf numFmtId="0" fontId="5" fillId="2" borderId="15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left" vertical="center" wrapText="1"/>
    </xf>
    <xf numFmtId="0" fontId="4" fillId="2" borderId="15" xfId="0" applyFont="1" applyFill="1" applyBorder="1" applyAlignment="1">
      <alignment horizontal="left" vertical="center" wrapText="1"/>
    </xf>
    <xf numFmtId="0" fontId="4" fillId="2" borderId="15" xfId="0" applyFont="1" applyFill="1" applyBorder="1" applyAlignment="1">
      <alignment horizontal="center" vertical="center"/>
    </xf>
    <xf numFmtId="0" fontId="5" fillId="2" borderId="0" xfId="0" applyFont="1" applyFill="1"/>
    <xf numFmtId="0" fontId="10" fillId="2" borderId="0" xfId="0" applyFont="1" applyFill="1"/>
    <xf numFmtId="0" fontId="3" fillId="2" borderId="0" xfId="0" applyFont="1" applyFill="1"/>
    <xf numFmtId="0" fontId="10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4" fillId="2" borderId="0" xfId="0" applyFont="1" applyFill="1"/>
    <xf numFmtId="0" fontId="4" fillId="2" borderId="0" xfId="0" applyFont="1" applyFill="1" applyAlignment="1">
      <alignment vertical="center"/>
    </xf>
    <xf numFmtId="0" fontId="5" fillId="2" borderId="0" xfId="0" applyFont="1" applyFill="1" applyAlignment="1">
      <alignment horizontal="right" wrapText="1"/>
    </xf>
    <xf numFmtId="0" fontId="5" fillId="2" borderId="0" xfId="0" applyFont="1" applyFill="1" applyAlignment="1">
      <alignment horizontal="left" wrapText="1"/>
    </xf>
    <xf numFmtId="0" fontId="5" fillId="2" borderId="16" xfId="0" applyFont="1" applyFill="1" applyBorder="1" applyAlignment="1">
      <alignment horizontal="center" vertical="center" wrapText="1"/>
    </xf>
    <xf numFmtId="164" fontId="5" fillId="2" borderId="9" xfId="0" applyNumberFormat="1" applyFont="1" applyFill="1" applyBorder="1" applyAlignment="1">
      <alignment horizontal="center" vertical="top" wrapText="1"/>
    </xf>
    <xf numFmtId="164" fontId="5" fillId="2" borderId="9" xfId="0" applyNumberFormat="1" applyFont="1" applyFill="1" applyBorder="1" applyAlignment="1">
      <alignment horizontal="center"/>
    </xf>
    <xf numFmtId="164" fontId="5" fillId="2" borderId="0" xfId="0" applyNumberFormat="1" applyFont="1" applyFill="1" applyAlignment="1">
      <alignment horizontal="center"/>
    </xf>
    <xf numFmtId="164" fontId="5" fillId="2" borderId="0" xfId="0" applyNumberFormat="1" applyFont="1" applyFill="1" applyAlignment="1">
      <alignment horizontal="center" vertical="top" wrapText="1"/>
    </xf>
    <xf numFmtId="0" fontId="0" fillId="2" borderId="2" xfId="0" applyFill="1" applyBorder="1"/>
    <xf numFmtId="0" fontId="5" fillId="2" borderId="0" xfId="0" applyFont="1" applyFill="1" applyAlignment="1">
      <alignment vertical="center"/>
    </xf>
    <xf numFmtId="0" fontId="0" fillId="2" borderId="0" xfId="0" applyFill="1" applyAlignment="1">
      <alignment horizontal="center"/>
    </xf>
    <xf numFmtId="0" fontId="8" fillId="2" borderId="0" xfId="0" applyFont="1" applyFill="1" applyAlignment="1">
      <alignment horizontal="center"/>
    </xf>
    <xf numFmtId="0" fontId="9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left"/>
    </xf>
    <xf numFmtId="0" fontId="9" fillId="2" borderId="0" xfId="0" applyFont="1" applyFill="1" applyAlignment="1">
      <alignment horizontal="left"/>
    </xf>
    <xf numFmtId="0" fontId="9" fillId="2" borderId="0" xfId="0" applyFont="1" applyFill="1" applyAlignment="1">
      <alignment horizontal="left" vertical="center" wrapText="1"/>
    </xf>
    <xf numFmtId="0" fontId="5" fillId="3" borderId="15" xfId="0" applyFont="1" applyFill="1" applyBorder="1" applyAlignment="1">
      <alignment horizontal="center" vertical="center"/>
    </xf>
    <xf numFmtId="0" fontId="11" fillId="2" borderId="15" xfId="0" applyFont="1" applyFill="1" applyBorder="1" applyAlignment="1">
      <alignment horizontal="center" vertical="center"/>
    </xf>
    <xf numFmtId="0" fontId="5" fillId="2" borderId="18" xfId="0" applyFont="1" applyFill="1" applyBorder="1" applyAlignment="1" applyProtection="1">
      <alignment horizontal="center" vertical="center"/>
      <protection locked="0"/>
    </xf>
    <xf numFmtId="0" fontId="5" fillId="2" borderId="15" xfId="0" applyFont="1" applyFill="1" applyBorder="1" applyAlignment="1" applyProtection="1">
      <alignment horizontal="center" vertical="center"/>
      <protection locked="0"/>
    </xf>
    <xf numFmtId="0" fontId="5" fillId="0" borderId="18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4" fillId="2" borderId="18" xfId="0" applyFont="1" applyFill="1" applyBorder="1" applyAlignment="1">
      <alignment horizontal="center" vertical="center"/>
    </xf>
    <xf numFmtId="0" fontId="5" fillId="3" borderId="32" xfId="0" applyFont="1" applyFill="1" applyBorder="1" applyAlignment="1">
      <alignment horizontal="center" vertical="center"/>
    </xf>
    <xf numFmtId="0" fontId="5" fillId="3" borderId="33" xfId="0" applyFont="1" applyFill="1" applyBorder="1" applyAlignment="1">
      <alignment horizontal="center" vertical="center"/>
    </xf>
    <xf numFmtId="0" fontId="11" fillId="2" borderId="32" xfId="0" applyFont="1" applyFill="1" applyBorder="1" applyAlignment="1">
      <alignment horizontal="center" vertical="center"/>
    </xf>
    <xf numFmtId="0" fontId="11" fillId="2" borderId="33" xfId="0" applyFont="1" applyFill="1" applyBorder="1" applyAlignment="1">
      <alignment horizontal="center" vertical="center"/>
    </xf>
    <xf numFmtId="0" fontId="4" fillId="2" borderId="32" xfId="0" applyFont="1" applyFill="1" applyBorder="1" applyAlignment="1">
      <alignment horizontal="center" vertical="center"/>
    </xf>
    <xf numFmtId="0" fontId="4" fillId="2" borderId="33" xfId="0" applyFont="1" applyFill="1" applyBorder="1" applyAlignment="1">
      <alignment horizontal="center" vertical="center"/>
    </xf>
    <xf numFmtId="0" fontId="5" fillId="2" borderId="24" xfId="0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26" xfId="0" applyFont="1" applyFill="1" applyBorder="1" applyAlignment="1">
      <alignment horizontal="center" vertical="center"/>
    </xf>
    <xf numFmtId="0" fontId="12" fillId="2" borderId="0" xfId="0" applyFont="1" applyFill="1"/>
    <xf numFmtId="0" fontId="4" fillId="5" borderId="15" xfId="0" applyFont="1" applyFill="1" applyBorder="1" applyAlignment="1">
      <alignment horizontal="center" vertical="center"/>
    </xf>
    <xf numFmtId="0" fontId="13" fillId="3" borderId="21" xfId="0" applyFont="1" applyFill="1" applyBorder="1" applyAlignment="1">
      <alignment horizontal="center" vertical="center"/>
    </xf>
    <xf numFmtId="0" fontId="13" fillId="3" borderId="22" xfId="0" applyFont="1" applyFill="1" applyBorder="1" applyAlignment="1">
      <alignment horizontal="center" vertical="center"/>
    </xf>
    <xf numFmtId="0" fontId="13" fillId="3" borderId="23" xfId="0" applyFont="1" applyFill="1" applyBorder="1" applyAlignment="1">
      <alignment horizontal="center" vertical="center"/>
    </xf>
    <xf numFmtId="0" fontId="13" fillId="4" borderId="22" xfId="0" applyFont="1" applyFill="1" applyBorder="1" applyAlignment="1">
      <alignment horizontal="center" vertical="center"/>
    </xf>
    <xf numFmtId="0" fontId="14" fillId="2" borderId="15" xfId="0" applyFont="1" applyFill="1" applyBorder="1" applyAlignment="1">
      <alignment horizontal="left" vertical="center" wrapText="1"/>
    </xf>
    <xf numFmtId="0" fontId="13" fillId="6" borderId="23" xfId="0" applyFont="1" applyFill="1" applyBorder="1" applyAlignment="1">
      <alignment horizontal="center" vertical="center"/>
    </xf>
    <xf numFmtId="0" fontId="15" fillId="2" borderId="32" xfId="0" applyFont="1" applyFill="1" applyBorder="1" applyAlignment="1">
      <alignment horizontal="center" vertical="center"/>
    </xf>
    <xf numFmtId="0" fontId="15" fillId="2" borderId="15" xfId="0" applyFont="1" applyFill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 wrapText="1"/>
    </xf>
    <xf numFmtId="0" fontId="5" fillId="2" borderId="17" xfId="0" applyFont="1" applyFill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2" fillId="2" borderId="27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left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wrapText="1"/>
    </xf>
    <xf numFmtId="0" fontId="1" fillId="2" borderId="12" xfId="0" applyFont="1" applyFill="1" applyBorder="1" applyAlignment="1">
      <alignment horizontal="center" wrapText="1"/>
    </xf>
    <xf numFmtId="0" fontId="1" fillId="2" borderId="28" xfId="0" applyFont="1" applyFill="1" applyBorder="1" applyAlignment="1">
      <alignment horizontal="center" wrapText="1"/>
    </xf>
    <xf numFmtId="164" fontId="5" fillId="2" borderId="15" xfId="0" applyNumberFormat="1" applyFont="1" applyFill="1" applyBorder="1" applyAlignment="1">
      <alignment horizontal="center"/>
    </xf>
    <xf numFmtId="164" fontId="5" fillId="2" borderId="20" xfId="0" applyNumberFormat="1" applyFont="1" applyFill="1" applyBorder="1" applyAlignment="1">
      <alignment horizontal="center" vertical="top" wrapText="1"/>
    </xf>
  </cellXfs>
  <cellStyles count="1">
    <cellStyle name="Normal" xfId="0" builtinId="0"/>
  </cellStyles>
  <dxfs count="27"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  <color rgb="FFFF0000"/>
      </font>
    </dxf>
    <dxf>
      <fill>
        <patternFill>
          <bgColor theme="3" tint="0.749961851863155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theme="3" tint="0.749961851863155"/>
        </patternFill>
      </fill>
    </dxf>
  </dxfs>
  <tableStyles count="0" defaultTableStyle="TableStyleMedium2" defaultPivotStyle="PivotStyleLight16"/>
  <colors>
    <mruColors>
      <color rgb="FFFF6161"/>
      <color rgb="FFDEE165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592435</xdr:colOff>
      <xdr:row>1</xdr:row>
      <xdr:rowOff>1682</xdr:rowOff>
    </xdr:from>
    <xdr:to>
      <xdr:col>2</xdr:col>
      <xdr:colOff>998758</xdr:colOff>
      <xdr:row>6</xdr:row>
      <xdr:rowOff>1</xdr:rowOff>
    </xdr:to>
    <xdr:pic>
      <xdr:nvPicPr>
        <xdr:cNvPr id="4" name="Picture 4" descr="C:\Users\user2\Desktop\REVISED ISO DOCS\PMGI Final layout.png">
          <a:extLst>
            <a:ext uri="{FF2B5EF4-FFF2-40B4-BE49-F238E27FC236}">
              <a16:creationId xmlns:a16="http://schemas.microsoft.com/office/drawing/2014/main" id="{1D4E18A6-826A-40B5-A0E4-B1C591492B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92435" y="205789"/>
          <a:ext cx="1439352" cy="1018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29</xdr:col>
      <xdr:colOff>571499</xdr:colOff>
      <xdr:row>5</xdr:row>
      <xdr:rowOff>0</xdr:rowOff>
    </xdr:from>
    <xdr:ext cx="822937" cy="21248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810F366-1F7A-4E9E-536C-387A318977F9}"/>
            </a:ext>
          </a:extLst>
        </xdr:cNvPr>
        <xdr:cNvSpPr txBox="1"/>
      </xdr:nvSpPr>
      <xdr:spPr>
        <a:xfrm>
          <a:off x="16968106" y="1020536"/>
          <a:ext cx="822937" cy="21248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3</a:t>
          </a:r>
        </a:p>
      </xdr:txBody>
    </xdr:sp>
    <xdr:clientData/>
  </xdr:oneCellAnchor>
  <xdr:oneCellAnchor>
    <xdr:from>
      <xdr:col>28</xdr:col>
      <xdr:colOff>450474</xdr:colOff>
      <xdr:row>5</xdr:row>
      <xdr:rowOff>956</xdr:rowOff>
    </xdr:from>
    <xdr:ext cx="822527" cy="211524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ED33012-4651-4973-A12A-9A63940665A7}"/>
            </a:ext>
          </a:extLst>
        </xdr:cNvPr>
        <xdr:cNvSpPr txBox="1"/>
      </xdr:nvSpPr>
      <xdr:spPr>
        <a:xfrm>
          <a:off x="16153117" y="1021492"/>
          <a:ext cx="822527" cy="21152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Edition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AA0DB-EBC5-4B9C-93B7-23307E50FB5C}">
  <sheetPr>
    <pageSetUpPr fitToPage="1"/>
  </sheetPr>
  <dimension ref="B1:AE52"/>
  <sheetViews>
    <sheetView tabSelected="1" view="pageBreakPreview" zoomScale="70" zoomScaleNormal="70" zoomScaleSheetLayoutView="70" workbookViewId="0">
      <selection activeCell="AL17" sqref="AL17"/>
    </sheetView>
  </sheetViews>
  <sheetFormatPr defaultColWidth="9.140625" defaultRowHeight="15" x14ac:dyDescent="0.25"/>
  <cols>
    <col min="1" max="1" width="4.140625" style="5" customWidth="1"/>
    <col min="2" max="2" width="6.5703125" style="5" customWidth="1"/>
    <col min="3" max="3" width="25.5703125" style="5" customWidth="1"/>
    <col min="4" max="4" width="12" style="5" customWidth="1"/>
    <col min="5" max="5" width="17.7109375" style="5" customWidth="1"/>
    <col min="6" max="6" width="14.140625" style="5" customWidth="1"/>
    <col min="7" max="7" width="12" style="5" customWidth="1"/>
    <col min="8" max="23" width="5.7109375" style="5" customWidth="1"/>
    <col min="24" max="30" width="10.42578125" style="36" customWidth="1"/>
    <col min="31" max="31" width="12.5703125" style="5" customWidth="1"/>
    <col min="32" max="16384" width="9.140625" style="5"/>
  </cols>
  <sheetData>
    <row r="1" spans="2:31" ht="15.75" thickBot="1" x14ac:dyDescent="0.3"/>
    <row r="2" spans="2:31" ht="15.75" x14ac:dyDescent="0.25">
      <c r="B2" s="10"/>
      <c r="C2" s="79" t="s">
        <v>0</v>
      </c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  <c r="W2" s="80"/>
      <c r="X2" s="80"/>
      <c r="Y2" s="80"/>
      <c r="Z2" s="80"/>
      <c r="AA2" s="80"/>
      <c r="AB2" s="80"/>
      <c r="AC2" s="80"/>
      <c r="AD2" s="80"/>
      <c r="AE2" s="81"/>
    </row>
    <row r="3" spans="2:31" ht="15.75" x14ac:dyDescent="0.25">
      <c r="B3" s="11"/>
      <c r="C3" s="82"/>
      <c r="D3" s="83"/>
      <c r="E3" s="83"/>
      <c r="F3" s="83"/>
      <c r="G3" s="83"/>
      <c r="H3" s="83"/>
      <c r="I3" s="83"/>
      <c r="J3" s="83"/>
      <c r="K3" s="83"/>
      <c r="L3" s="83"/>
      <c r="M3" s="83"/>
      <c r="N3" s="83"/>
      <c r="O3" s="83"/>
      <c r="P3" s="83"/>
      <c r="Q3" s="83"/>
      <c r="R3" s="83"/>
      <c r="S3" s="83"/>
      <c r="T3" s="83"/>
      <c r="U3" s="83"/>
      <c r="V3" s="83"/>
      <c r="W3" s="83"/>
      <c r="X3" s="83"/>
      <c r="Y3" s="83"/>
      <c r="Z3" s="83"/>
      <c r="AA3" s="83"/>
      <c r="AB3" s="83"/>
      <c r="AC3" s="83"/>
      <c r="AD3" s="83"/>
      <c r="AE3" s="84"/>
    </row>
    <row r="4" spans="2:31" ht="15.75" x14ac:dyDescent="0.25">
      <c r="B4" s="11"/>
      <c r="C4" s="85" t="s">
        <v>1</v>
      </c>
      <c r="D4" s="86"/>
      <c r="E4" s="86"/>
      <c r="F4" s="86"/>
      <c r="G4" s="86"/>
      <c r="H4" s="86"/>
      <c r="I4" s="86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U4" s="86"/>
      <c r="V4" s="86"/>
      <c r="W4" s="86"/>
      <c r="X4" s="86"/>
      <c r="Y4" s="86"/>
      <c r="Z4" s="86"/>
      <c r="AA4" s="86"/>
      <c r="AB4" s="86"/>
      <c r="AC4" s="86"/>
      <c r="AD4" s="86"/>
      <c r="AE4" s="87"/>
    </row>
    <row r="5" spans="2:31" ht="15.75" x14ac:dyDescent="0.25">
      <c r="B5" s="11"/>
      <c r="C5" s="82"/>
      <c r="D5" s="83"/>
      <c r="E5" s="83"/>
      <c r="F5" s="83"/>
      <c r="G5" s="83"/>
      <c r="H5" s="83"/>
      <c r="I5" s="83"/>
      <c r="J5" s="83"/>
      <c r="K5" s="83"/>
      <c r="L5" s="83"/>
      <c r="M5" s="83"/>
      <c r="N5" s="83"/>
      <c r="O5" s="83"/>
      <c r="P5" s="83"/>
      <c r="Q5" s="83"/>
      <c r="R5" s="83"/>
      <c r="S5" s="83"/>
      <c r="T5" s="83"/>
      <c r="U5" s="83"/>
      <c r="V5" s="83"/>
      <c r="W5" s="83"/>
      <c r="X5" s="83"/>
      <c r="Y5" s="83"/>
      <c r="Z5" s="83"/>
      <c r="AA5" s="83"/>
      <c r="AB5" s="83"/>
      <c r="AC5" s="83"/>
      <c r="AD5" s="83"/>
      <c r="AE5" s="84"/>
    </row>
    <row r="6" spans="2:31" ht="16.5" customHeight="1" thickBot="1" x14ac:dyDescent="0.3">
      <c r="B6" s="12"/>
      <c r="C6" s="93" t="s">
        <v>47</v>
      </c>
      <c r="D6" s="94"/>
      <c r="E6" s="94"/>
      <c r="F6" s="94"/>
      <c r="G6" s="94"/>
      <c r="H6" s="94"/>
      <c r="I6" s="94"/>
      <c r="J6" s="94"/>
      <c r="K6" s="94"/>
      <c r="L6" s="94"/>
      <c r="M6" s="94"/>
      <c r="N6" s="94"/>
      <c r="O6" s="94"/>
      <c r="P6" s="94"/>
      <c r="Q6" s="94"/>
      <c r="R6" s="94"/>
      <c r="S6" s="94"/>
      <c r="T6" s="94"/>
      <c r="U6" s="94"/>
      <c r="V6" s="94"/>
      <c r="W6" s="94"/>
      <c r="X6" s="94"/>
      <c r="Y6" s="94"/>
      <c r="Z6" s="94"/>
      <c r="AA6" s="94"/>
      <c r="AB6" s="94"/>
      <c r="AC6" s="94"/>
      <c r="AD6" s="94"/>
      <c r="AE6" s="95"/>
    </row>
    <row r="7" spans="2:31" ht="23.25" customHeight="1" x14ac:dyDescent="0.25">
      <c r="C7" s="59" t="s">
        <v>49</v>
      </c>
      <c r="G7" s="34"/>
      <c r="H7" s="34"/>
    </row>
    <row r="8" spans="2:31" ht="15" customHeight="1" x14ac:dyDescent="0.25">
      <c r="B8" s="27"/>
      <c r="C8" s="72" t="s">
        <v>50</v>
      </c>
      <c r="D8" s="73"/>
      <c r="E8" s="73"/>
      <c r="F8" s="92"/>
      <c r="G8" s="13"/>
      <c r="H8" s="13"/>
      <c r="I8" s="35"/>
      <c r="J8" s="13"/>
      <c r="K8" s="13"/>
      <c r="L8" s="13"/>
    </row>
    <row r="9" spans="2:31" ht="15" customHeight="1" x14ac:dyDescent="0.25">
      <c r="C9" s="14" t="s">
        <v>2</v>
      </c>
      <c r="D9" s="97">
        <v>45946</v>
      </c>
      <c r="E9" s="97"/>
      <c r="F9" s="30"/>
      <c r="G9" s="33"/>
      <c r="H9" s="15"/>
      <c r="I9" s="15"/>
      <c r="J9" s="15"/>
      <c r="K9" s="15"/>
    </row>
    <row r="10" spans="2:31" ht="15" customHeight="1" x14ac:dyDescent="0.25">
      <c r="B10" s="28"/>
      <c r="C10" s="14" t="s">
        <v>3</v>
      </c>
      <c r="D10" s="96">
        <v>45961</v>
      </c>
      <c r="E10" s="96"/>
      <c r="F10" s="31"/>
      <c r="G10" s="32"/>
      <c r="H10" s="15"/>
      <c r="I10" s="15"/>
      <c r="J10" s="15"/>
      <c r="K10" s="15"/>
    </row>
    <row r="11" spans="2:31" ht="15.75" thickBot="1" x14ac:dyDescent="0.3"/>
    <row r="12" spans="2:31" ht="35.25" customHeight="1" x14ac:dyDescent="0.25">
      <c r="B12" s="69" t="s">
        <v>4</v>
      </c>
      <c r="C12" s="69" t="s">
        <v>5</v>
      </c>
      <c r="D12" s="69" t="s">
        <v>43</v>
      </c>
      <c r="E12" s="69" t="s">
        <v>42</v>
      </c>
      <c r="F12" s="69" t="s">
        <v>38</v>
      </c>
      <c r="G12" s="74" t="s">
        <v>39</v>
      </c>
      <c r="H12" s="61" t="s">
        <v>54</v>
      </c>
      <c r="I12" s="62" t="s">
        <v>55</v>
      </c>
      <c r="J12" s="62" t="s">
        <v>56</v>
      </c>
      <c r="K12" s="66" t="s">
        <v>57</v>
      </c>
      <c r="L12" s="62" t="s">
        <v>58</v>
      </c>
      <c r="M12" s="64" t="s">
        <v>59</v>
      </c>
      <c r="N12" s="62" t="s">
        <v>60</v>
      </c>
      <c r="O12" s="62" t="s">
        <v>54</v>
      </c>
      <c r="P12" s="62" t="s">
        <v>55</v>
      </c>
      <c r="Q12" s="62" t="s">
        <v>56</v>
      </c>
      <c r="R12" s="63" t="s">
        <v>57</v>
      </c>
      <c r="S12" s="62" t="s">
        <v>58</v>
      </c>
      <c r="T12" s="64" t="s">
        <v>59</v>
      </c>
      <c r="U12" s="62" t="s">
        <v>60</v>
      </c>
      <c r="V12" s="62" t="s">
        <v>54</v>
      </c>
      <c r="W12" s="63"/>
      <c r="X12" s="47" t="s">
        <v>6</v>
      </c>
      <c r="Y12" s="48" t="s">
        <v>6</v>
      </c>
      <c r="Z12" s="48" t="s">
        <v>8</v>
      </c>
      <c r="AA12" s="48" t="s">
        <v>10</v>
      </c>
      <c r="AB12" s="48" t="s">
        <v>11</v>
      </c>
      <c r="AC12" s="48" t="s">
        <v>36</v>
      </c>
      <c r="AD12" s="48" t="s">
        <v>12</v>
      </c>
      <c r="AE12" s="69" t="s">
        <v>37</v>
      </c>
    </row>
    <row r="13" spans="2:31" ht="13.5" customHeight="1" x14ac:dyDescent="0.25">
      <c r="B13" s="70"/>
      <c r="C13" s="70"/>
      <c r="D13" s="70"/>
      <c r="E13" s="70"/>
      <c r="F13" s="70"/>
      <c r="G13" s="75"/>
      <c r="H13" s="50">
        <v>16</v>
      </c>
      <c r="I13" s="43">
        <v>17</v>
      </c>
      <c r="J13" s="43">
        <v>18</v>
      </c>
      <c r="K13" s="43">
        <v>19</v>
      </c>
      <c r="L13" s="43">
        <v>20</v>
      </c>
      <c r="M13" s="43">
        <v>21</v>
      </c>
      <c r="N13" s="43">
        <v>22</v>
      </c>
      <c r="O13" s="43">
        <v>23</v>
      </c>
      <c r="P13" s="43">
        <v>24</v>
      </c>
      <c r="Q13" s="43">
        <v>25</v>
      </c>
      <c r="R13" s="43">
        <v>26</v>
      </c>
      <c r="S13" s="43">
        <v>27</v>
      </c>
      <c r="T13" s="43">
        <v>28</v>
      </c>
      <c r="U13" s="43">
        <v>29</v>
      </c>
      <c r="V13" s="43">
        <v>30</v>
      </c>
      <c r="W13" s="51"/>
      <c r="X13" s="77" t="s">
        <v>15</v>
      </c>
      <c r="Y13" s="69" t="s">
        <v>7</v>
      </c>
      <c r="Z13" s="69" t="s">
        <v>9</v>
      </c>
      <c r="AA13" s="69" t="s">
        <v>14</v>
      </c>
      <c r="AB13" s="69" t="s">
        <v>13</v>
      </c>
      <c r="AC13" s="69" t="s">
        <v>35</v>
      </c>
      <c r="AD13" s="69" t="s">
        <v>13</v>
      </c>
      <c r="AE13" s="70"/>
    </row>
    <row r="14" spans="2:31" ht="16.5" customHeight="1" x14ac:dyDescent="0.25">
      <c r="B14" s="71"/>
      <c r="C14" s="71"/>
      <c r="D14" s="71"/>
      <c r="E14" s="71"/>
      <c r="F14" s="71"/>
      <c r="G14" s="76"/>
      <c r="H14" s="52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53"/>
      <c r="X14" s="78"/>
      <c r="Y14" s="71"/>
      <c r="Z14" s="71"/>
      <c r="AA14" s="71"/>
      <c r="AB14" s="71"/>
      <c r="AC14" s="71"/>
      <c r="AD14" s="71"/>
      <c r="AE14" s="71"/>
    </row>
    <row r="15" spans="2:31" ht="24.95" customHeight="1" x14ac:dyDescent="0.25">
      <c r="B15" s="16">
        <f>ROW()-14</f>
        <v>1</v>
      </c>
      <c r="C15" s="18" t="s">
        <v>51</v>
      </c>
      <c r="D15" s="18" t="s">
        <v>52</v>
      </c>
      <c r="E15" s="18" t="s">
        <v>29</v>
      </c>
      <c r="F15" s="18" t="s">
        <v>45</v>
      </c>
      <c r="G15" s="17" t="s">
        <v>53</v>
      </c>
      <c r="H15" s="67">
        <v>8</v>
      </c>
      <c r="I15" s="19">
        <v>11</v>
      </c>
      <c r="J15" s="19">
        <v>11</v>
      </c>
      <c r="K15" s="19" t="s">
        <v>41</v>
      </c>
      <c r="L15" s="19">
        <v>12</v>
      </c>
      <c r="M15" s="19" t="s">
        <v>40</v>
      </c>
      <c r="N15" s="19">
        <v>12</v>
      </c>
      <c r="O15" s="19">
        <v>12</v>
      </c>
      <c r="P15" s="19">
        <v>12</v>
      </c>
      <c r="Q15" s="19">
        <v>12</v>
      </c>
      <c r="R15" s="19">
        <v>12</v>
      </c>
      <c r="S15" s="68">
        <v>10</v>
      </c>
      <c r="T15" s="19" t="s">
        <v>40</v>
      </c>
      <c r="U15" s="19">
        <v>12</v>
      </c>
      <c r="V15" s="19">
        <v>12</v>
      </c>
      <c r="W15" s="55"/>
      <c r="X15" s="49" cm="1">
        <f t="array" ref="X15">SUMPRODUCT(--ISNUMBER(H15:W15), --($H$14:$W$14&lt;&gt;"LH"), --($H$14:$W$14&lt;&gt;"SH"))</f>
        <v>12</v>
      </c>
      <c r="Y15" s="19">
        <f>X15*8</f>
        <v>96</v>
      </c>
      <c r="Z15" s="19"/>
      <c r="AA15" s="19">
        <v>40</v>
      </c>
      <c r="AB15" s="19">
        <f>SUMIF($H$14:$W$14,"LH",$H15:$W15)</f>
        <v>0</v>
      </c>
      <c r="AC15" s="19"/>
      <c r="AD15" s="19">
        <f>SUMIF($H$14:$W$14,"SH",$H15:$W15)</f>
        <v>0</v>
      </c>
      <c r="AE15" s="19"/>
    </row>
    <row r="16" spans="2:31" ht="24.95" customHeight="1" x14ac:dyDescent="0.25">
      <c r="B16" s="16">
        <f t="shared" ref="B16:B25" si="0">ROW()-14</f>
        <v>2</v>
      </c>
      <c r="C16" s="18" t="s">
        <v>61</v>
      </c>
      <c r="D16" s="18" t="s">
        <v>72</v>
      </c>
      <c r="E16" s="18" t="s">
        <v>44</v>
      </c>
      <c r="F16" s="18" t="s">
        <v>45</v>
      </c>
      <c r="G16" s="17" t="s">
        <v>62</v>
      </c>
      <c r="H16" s="54">
        <v>12</v>
      </c>
      <c r="I16" s="19">
        <v>12</v>
      </c>
      <c r="J16" s="19">
        <v>12</v>
      </c>
      <c r="K16" s="19">
        <v>12</v>
      </c>
      <c r="L16" s="19">
        <v>12</v>
      </c>
      <c r="M16" s="19">
        <v>12</v>
      </c>
      <c r="N16" s="19" t="s">
        <v>40</v>
      </c>
      <c r="O16" s="19">
        <v>12</v>
      </c>
      <c r="P16" s="19">
        <v>12</v>
      </c>
      <c r="Q16" s="19">
        <v>12</v>
      </c>
      <c r="R16" s="19">
        <v>12</v>
      </c>
      <c r="S16" s="19">
        <v>12</v>
      </c>
      <c r="T16" s="19">
        <v>12</v>
      </c>
      <c r="U16" s="19" t="s">
        <v>40</v>
      </c>
      <c r="V16" s="19">
        <v>12</v>
      </c>
      <c r="W16" s="55"/>
      <c r="X16" s="49" cm="1">
        <f t="array" ref="X16">SUMPRODUCT(--ISNUMBER(H16:W16), --($H$14:$W$14&lt;&gt;"LH"), --($H$14:$W$14&lt;&gt;"SH"))</f>
        <v>13</v>
      </c>
      <c r="Y16" s="19">
        <f t="shared" ref="Y16:Y25" si="1">X16*8</f>
        <v>104</v>
      </c>
      <c r="Z16" s="19"/>
      <c r="AA16" s="19">
        <f t="shared" ref="AA16:AA25" si="2">SUM(H16:W16)-AB16-AD16-Y16</f>
        <v>52</v>
      </c>
      <c r="AB16" s="19">
        <f t="shared" ref="AB16:AB25" si="3">SUMIF($H$14:$W$14,"LH",$H16:$W16)</f>
        <v>0</v>
      </c>
      <c r="AC16" s="19"/>
      <c r="AD16" s="19">
        <f t="shared" ref="AD16:AD25" si="4">SUMIF($H$14:$W$14,"SH",$H16:$W16)</f>
        <v>0</v>
      </c>
      <c r="AE16" s="19"/>
    </row>
    <row r="17" spans="2:31" ht="24.95" customHeight="1" x14ac:dyDescent="0.25">
      <c r="B17" s="16">
        <f t="shared" si="0"/>
        <v>3</v>
      </c>
      <c r="C17" s="18" t="s">
        <v>66</v>
      </c>
      <c r="D17" s="18" t="s">
        <v>71</v>
      </c>
      <c r="E17" s="18" t="s">
        <v>63</v>
      </c>
      <c r="F17" s="18" t="s">
        <v>45</v>
      </c>
      <c r="G17" s="17" t="s">
        <v>62</v>
      </c>
      <c r="H17" s="54">
        <v>12</v>
      </c>
      <c r="I17" s="19">
        <v>12</v>
      </c>
      <c r="J17" s="19">
        <v>12</v>
      </c>
      <c r="K17" s="19">
        <v>12</v>
      </c>
      <c r="L17" s="19" t="s">
        <v>40</v>
      </c>
      <c r="M17" s="19">
        <v>12</v>
      </c>
      <c r="N17" s="19">
        <v>12</v>
      </c>
      <c r="O17" s="19">
        <v>12</v>
      </c>
      <c r="P17" s="19">
        <v>12</v>
      </c>
      <c r="Q17" s="19">
        <v>12</v>
      </c>
      <c r="R17" s="19">
        <v>12</v>
      </c>
      <c r="S17" s="19" t="s">
        <v>40</v>
      </c>
      <c r="T17" s="19">
        <v>12</v>
      </c>
      <c r="U17" s="19">
        <v>12</v>
      </c>
      <c r="V17" s="19">
        <v>12</v>
      </c>
      <c r="W17" s="55"/>
      <c r="X17" s="49" cm="1">
        <f t="array" ref="X17">SUMPRODUCT(--ISNUMBER(H17:W17), --($H$14:$W$14&lt;&gt;"LH"), --($H$14:$W$14&lt;&gt;"SH"))</f>
        <v>13</v>
      </c>
      <c r="Y17" s="19">
        <f t="shared" si="1"/>
        <v>104</v>
      </c>
      <c r="Z17" s="19"/>
      <c r="AA17" s="19">
        <f t="shared" si="2"/>
        <v>52</v>
      </c>
      <c r="AB17" s="19">
        <f t="shared" si="3"/>
        <v>0</v>
      </c>
      <c r="AC17" s="19"/>
      <c r="AD17" s="19">
        <f t="shared" si="4"/>
        <v>0</v>
      </c>
      <c r="AE17" s="19"/>
    </row>
    <row r="18" spans="2:31" ht="24.95" customHeight="1" x14ac:dyDescent="0.25">
      <c r="B18" s="16">
        <f t="shared" si="0"/>
        <v>4</v>
      </c>
      <c r="C18" s="18" t="s">
        <v>64</v>
      </c>
      <c r="D18" s="18" t="s">
        <v>70</v>
      </c>
      <c r="E18" s="18" t="s">
        <v>46</v>
      </c>
      <c r="F18" s="18" t="s">
        <v>45</v>
      </c>
      <c r="G18" s="17" t="s">
        <v>62</v>
      </c>
      <c r="H18" s="54">
        <v>12</v>
      </c>
      <c r="I18" s="19">
        <v>12</v>
      </c>
      <c r="J18" s="19">
        <v>12</v>
      </c>
      <c r="K18" s="19">
        <v>12</v>
      </c>
      <c r="L18" s="19">
        <v>12</v>
      </c>
      <c r="M18" s="19" t="s">
        <v>40</v>
      </c>
      <c r="N18" s="19">
        <v>12</v>
      </c>
      <c r="O18" s="19">
        <v>12</v>
      </c>
      <c r="P18" s="19">
        <v>12</v>
      </c>
      <c r="Q18" s="19">
        <v>12</v>
      </c>
      <c r="R18" s="19">
        <v>12</v>
      </c>
      <c r="S18" s="19">
        <v>12</v>
      </c>
      <c r="T18" s="19" t="s">
        <v>40</v>
      </c>
      <c r="U18" s="19">
        <v>12</v>
      </c>
      <c r="V18" s="19">
        <v>12</v>
      </c>
      <c r="W18" s="55"/>
      <c r="X18" s="49" cm="1">
        <f t="array" ref="X18">SUMPRODUCT(--ISNUMBER(H18:W18), --($H$14:$W$14&lt;&gt;"LH"), --($H$14:$W$14&lt;&gt;"SH"))</f>
        <v>13</v>
      </c>
      <c r="Y18" s="19">
        <f t="shared" si="1"/>
        <v>104</v>
      </c>
      <c r="Z18" s="19"/>
      <c r="AA18" s="19">
        <f t="shared" si="2"/>
        <v>52</v>
      </c>
      <c r="AB18" s="19">
        <f t="shared" si="3"/>
        <v>0</v>
      </c>
      <c r="AC18" s="19"/>
      <c r="AD18" s="19">
        <f t="shared" si="4"/>
        <v>0</v>
      </c>
      <c r="AE18" s="19"/>
    </row>
    <row r="19" spans="2:31" ht="24.95" customHeight="1" x14ac:dyDescent="0.25">
      <c r="B19" s="16">
        <f t="shared" si="0"/>
        <v>5</v>
      </c>
      <c r="C19" s="18" t="s">
        <v>65</v>
      </c>
      <c r="D19" s="18" t="s">
        <v>69</v>
      </c>
      <c r="E19" s="18" t="s">
        <v>46</v>
      </c>
      <c r="F19" s="18" t="s">
        <v>45</v>
      </c>
      <c r="G19" s="17" t="s">
        <v>77</v>
      </c>
      <c r="H19" s="54">
        <v>12</v>
      </c>
      <c r="I19" s="19">
        <v>12</v>
      </c>
      <c r="J19" s="19">
        <v>12</v>
      </c>
      <c r="K19" s="19">
        <v>12</v>
      </c>
      <c r="L19" s="19" t="s">
        <v>40</v>
      </c>
      <c r="M19" s="19">
        <v>12</v>
      </c>
      <c r="N19" s="19">
        <v>12</v>
      </c>
      <c r="O19" s="19">
        <v>12</v>
      </c>
      <c r="P19" s="19">
        <v>12</v>
      </c>
      <c r="Q19" s="19">
        <v>12</v>
      </c>
      <c r="R19" s="19">
        <v>12</v>
      </c>
      <c r="S19" s="19" t="s">
        <v>40</v>
      </c>
      <c r="T19" s="19">
        <v>8</v>
      </c>
      <c r="U19" s="19">
        <v>12</v>
      </c>
      <c r="V19" s="19">
        <v>12</v>
      </c>
      <c r="W19" s="55"/>
      <c r="X19" s="49" cm="1">
        <f t="array" ref="X19">SUMPRODUCT(--ISNUMBER(H19:W19), --($H$14:$W$14&lt;&gt;"LH"), --($H$14:$W$14&lt;&gt;"SH"))</f>
        <v>13</v>
      </c>
      <c r="Y19" s="19">
        <f t="shared" si="1"/>
        <v>104</v>
      </c>
      <c r="Z19" s="19"/>
      <c r="AA19" s="19">
        <f t="shared" si="2"/>
        <v>48</v>
      </c>
      <c r="AB19" s="19">
        <f t="shared" si="3"/>
        <v>0</v>
      </c>
      <c r="AC19" s="19"/>
      <c r="AD19" s="19">
        <f t="shared" si="4"/>
        <v>0</v>
      </c>
      <c r="AE19" s="19">
        <v>1</v>
      </c>
    </row>
    <row r="20" spans="2:31" ht="24.95" customHeight="1" x14ac:dyDescent="0.25">
      <c r="B20" s="16">
        <f t="shared" si="0"/>
        <v>6</v>
      </c>
      <c r="C20" s="18" t="s">
        <v>67</v>
      </c>
      <c r="D20" s="18" t="s">
        <v>68</v>
      </c>
      <c r="E20" s="18" t="s">
        <v>46</v>
      </c>
      <c r="F20" s="18" t="s">
        <v>73</v>
      </c>
      <c r="G20" s="17" t="s">
        <v>78</v>
      </c>
      <c r="H20" s="54">
        <v>12</v>
      </c>
      <c r="I20" s="19" t="s">
        <v>40</v>
      </c>
      <c r="J20" s="19">
        <v>12</v>
      </c>
      <c r="K20" s="19">
        <v>12</v>
      </c>
      <c r="L20" s="19">
        <v>12</v>
      </c>
      <c r="M20" s="19">
        <v>12</v>
      </c>
      <c r="N20" s="19">
        <v>12</v>
      </c>
      <c r="O20" s="19">
        <v>12</v>
      </c>
      <c r="P20" s="19" t="s">
        <v>40</v>
      </c>
      <c r="Q20" s="19">
        <v>12</v>
      </c>
      <c r="R20" s="19">
        <v>12</v>
      </c>
      <c r="S20" s="19">
        <v>12</v>
      </c>
      <c r="T20" s="19">
        <v>12</v>
      </c>
      <c r="U20" s="19">
        <v>12</v>
      </c>
      <c r="V20" s="19">
        <v>12</v>
      </c>
      <c r="W20" s="55"/>
      <c r="X20" s="49" cm="1">
        <f t="array" ref="X20">SUMPRODUCT(--ISNUMBER(H20:W20), --($H$14:$W$14&lt;&gt;"LH"), --($H$14:$W$14&lt;&gt;"SH"))</f>
        <v>13</v>
      </c>
      <c r="Y20" s="19">
        <f t="shared" si="1"/>
        <v>104</v>
      </c>
      <c r="Z20" s="19"/>
      <c r="AA20" s="19">
        <f t="shared" si="2"/>
        <v>52</v>
      </c>
      <c r="AB20" s="19">
        <f t="shared" si="3"/>
        <v>0</v>
      </c>
      <c r="AC20" s="19"/>
      <c r="AD20" s="19">
        <f t="shared" si="4"/>
        <v>0</v>
      </c>
      <c r="AE20" s="19"/>
    </row>
    <row r="21" spans="2:31" ht="24.95" customHeight="1" x14ac:dyDescent="0.25">
      <c r="B21" s="16">
        <f t="shared" si="0"/>
        <v>7</v>
      </c>
      <c r="C21" s="18" t="s">
        <v>74</v>
      </c>
      <c r="D21" s="18" t="s">
        <v>75</v>
      </c>
      <c r="E21" s="18" t="s">
        <v>46</v>
      </c>
      <c r="F21" s="18" t="s">
        <v>76</v>
      </c>
      <c r="G21" s="17" t="s">
        <v>79</v>
      </c>
      <c r="H21" s="54">
        <v>12</v>
      </c>
      <c r="I21" s="19">
        <v>12</v>
      </c>
      <c r="J21" s="19" t="s">
        <v>40</v>
      </c>
      <c r="K21" s="19">
        <v>12</v>
      </c>
      <c r="L21" s="19">
        <v>12</v>
      </c>
      <c r="M21" s="19">
        <v>12</v>
      </c>
      <c r="N21" s="19">
        <v>12</v>
      </c>
      <c r="O21" s="19">
        <v>12</v>
      </c>
      <c r="P21" s="19">
        <v>12</v>
      </c>
      <c r="Q21" s="19" t="s">
        <v>40</v>
      </c>
      <c r="R21" s="19">
        <v>12</v>
      </c>
      <c r="S21" s="19">
        <v>12</v>
      </c>
      <c r="T21" s="19">
        <v>12</v>
      </c>
      <c r="U21" s="19">
        <v>12</v>
      </c>
      <c r="V21" s="19">
        <v>12</v>
      </c>
      <c r="W21" s="55"/>
      <c r="X21" s="49" cm="1">
        <f t="array" ref="X21">SUMPRODUCT(--ISNUMBER(H21:W21), --($H$14:$W$14&lt;&gt;"LH"), --($H$14:$W$14&lt;&gt;"SH"))</f>
        <v>13</v>
      </c>
      <c r="Y21" s="19">
        <f t="shared" si="1"/>
        <v>104</v>
      </c>
      <c r="Z21" s="19"/>
      <c r="AA21" s="19">
        <f t="shared" si="2"/>
        <v>52</v>
      </c>
      <c r="AB21" s="19">
        <f t="shared" si="3"/>
        <v>0</v>
      </c>
      <c r="AC21" s="19"/>
      <c r="AD21" s="19">
        <f t="shared" si="4"/>
        <v>0</v>
      </c>
      <c r="AE21" s="19">
        <v>78</v>
      </c>
    </row>
    <row r="22" spans="2:31" ht="24.95" customHeight="1" x14ac:dyDescent="0.25">
      <c r="B22" s="16">
        <f t="shared" si="0"/>
        <v>8</v>
      </c>
      <c r="C22" s="18" t="s">
        <v>80</v>
      </c>
      <c r="D22" s="18" t="s">
        <v>81</v>
      </c>
      <c r="E22" s="18" t="s">
        <v>46</v>
      </c>
      <c r="F22" s="65" t="s">
        <v>82</v>
      </c>
      <c r="G22" s="17"/>
      <c r="H22" s="54"/>
      <c r="I22" s="19">
        <v>12</v>
      </c>
      <c r="J22" s="19">
        <v>12</v>
      </c>
      <c r="K22" s="19" t="s">
        <v>40</v>
      </c>
      <c r="L22" s="19">
        <v>12</v>
      </c>
      <c r="M22" s="19">
        <v>12</v>
      </c>
      <c r="N22" s="19">
        <v>12</v>
      </c>
      <c r="O22" s="19"/>
      <c r="P22" s="19">
        <v>12</v>
      </c>
      <c r="Q22" s="19">
        <v>12</v>
      </c>
      <c r="R22" s="19" t="s">
        <v>40</v>
      </c>
      <c r="S22" s="19">
        <v>12</v>
      </c>
      <c r="T22" s="19">
        <v>12</v>
      </c>
      <c r="U22" s="19">
        <v>12</v>
      </c>
      <c r="V22" s="19"/>
      <c r="W22" s="55"/>
      <c r="X22" s="49" cm="1">
        <f t="array" ref="X22">SUMPRODUCT(--ISNUMBER(H22:W22), --($H$14:$W$14&lt;&gt;"LH"), --($H$14:$W$14&lt;&gt;"SH"))</f>
        <v>10</v>
      </c>
      <c r="Y22" s="19">
        <f t="shared" si="1"/>
        <v>80</v>
      </c>
      <c r="Z22" s="19"/>
      <c r="AA22" s="19">
        <f t="shared" si="2"/>
        <v>40</v>
      </c>
      <c r="AB22" s="19"/>
      <c r="AC22" s="19"/>
      <c r="AD22" s="19">
        <f t="shared" si="4"/>
        <v>0</v>
      </c>
      <c r="AE22" s="19">
        <v>12</v>
      </c>
    </row>
    <row r="23" spans="2:31" ht="24.95" customHeight="1" x14ac:dyDescent="0.25">
      <c r="B23" s="16">
        <f t="shared" si="0"/>
        <v>9</v>
      </c>
      <c r="C23" s="18"/>
      <c r="D23" s="18"/>
      <c r="E23" s="18"/>
      <c r="F23" s="18"/>
      <c r="G23" s="17"/>
      <c r="H23" s="54"/>
      <c r="I23" s="19"/>
      <c r="J23" s="19"/>
      <c r="K23" s="19"/>
      <c r="L23" s="60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55"/>
      <c r="X23" s="49" cm="1">
        <f t="array" ref="X23">SUMPRODUCT(--ISNUMBER(H23:W23), --($H$14:$W$14&lt;&gt;"LH"), --($H$14:$W$14&lt;&gt;"SH"))</f>
        <v>0</v>
      </c>
      <c r="Y23" s="19">
        <f t="shared" si="1"/>
        <v>0</v>
      </c>
      <c r="Z23" s="19"/>
      <c r="AA23" s="19">
        <f t="shared" si="2"/>
        <v>0</v>
      </c>
      <c r="AB23" s="19">
        <f t="shared" si="3"/>
        <v>0</v>
      </c>
      <c r="AC23" s="19"/>
      <c r="AD23" s="19">
        <f t="shared" si="4"/>
        <v>0</v>
      </c>
      <c r="AE23" s="19"/>
    </row>
    <row r="24" spans="2:31" ht="24.95" customHeight="1" x14ac:dyDescent="0.25">
      <c r="B24" s="16">
        <f t="shared" si="0"/>
        <v>10</v>
      </c>
      <c r="C24" s="18"/>
      <c r="D24" s="18"/>
      <c r="E24" s="18"/>
      <c r="F24" s="18"/>
      <c r="G24" s="17"/>
      <c r="H24" s="54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55"/>
      <c r="X24" s="49" cm="1">
        <f t="array" ref="X24">SUMPRODUCT(--ISNUMBER(H24:W24), --($H$14:$W$14&lt;&gt;"LH"), --($H$14:$W$14&lt;&gt;"SH"))</f>
        <v>0</v>
      </c>
      <c r="Y24" s="19">
        <f t="shared" si="1"/>
        <v>0</v>
      </c>
      <c r="Z24" s="19"/>
      <c r="AA24" s="19">
        <f t="shared" si="2"/>
        <v>0</v>
      </c>
      <c r="AB24" s="19">
        <f t="shared" si="3"/>
        <v>0</v>
      </c>
      <c r="AC24" s="19"/>
      <c r="AD24" s="19">
        <f t="shared" si="4"/>
        <v>0</v>
      </c>
      <c r="AE24" s="19"/>
    </row>
    <row r="25" spans="2:31" ht="24.95" customHeight="1" x14ac:dyDescent="0.25">
      <c r="B25" s="16">
        <f t="shared" si="0"/>
        <v>11</v>
      </c>
      <c r="C25" s="18"/>
      <c r="D25" s="18"/>
      <c r="E25" s="18"/>
      <c r="F25" s="18"/>
      <c r="G25" s="17"/>
      <c r="H25" s="54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55"/>
      <c r="X25" s="49" cm="1">
        <f t="array" ref="X25">SUMPRODUCT(--ISNUMBER(H25:W25), --($H$14:$W$14&lt;&gt;"LH"), --($H$14:$W$14&lt;&gt;"SH"))</f>
        <v>0</v>
      </c>
      <c r="Y25" s="19">
        <f t="shared" si="1"/>
        <v>0</v>
      </c>
      <c r="Z25" s="19"/>
      <c r="AA25" s="19">
        <f t="shared" si="2"/>
        <v>0</v>
      </c>
      <c r="AB25" s="19">
        <f t="shared" si="3"/>
        <v>0</v>
      </c>
      <c r="AC25" s="19"/>
      <c r="AD25" s="19">
        <f t="shared" si="4"/>
        <v>0</v>
      </c>
      <c r="AE25" s="19"/>
    </row>
    <row r="26" spans="2:31" ht="22.5" customHeight="1" thickBot="1" x14ac:dyDescent="0.3">
      <c r="B26" s="19"/>
      <c r="C26" s="18"/>
      <c r="D26" s="18"/>
      <c r="E26" s="72" t="s">
        <v>48</v>
      </c>
      <c r="F26" s="73"/>
      <c r="G26" s="29">
        <f>SUM(H26:W26)</f>
        <v>100</v>
      </c>
      <c r="H26" s="56">
        <f t="shared" ref="H26:W26" si="5">COUNTA(H15:H25)-COUNTIF(H15:H25,"A")-COUNTIF(H15:H25,"D")-COUNTIF(H15:H25,"L")</f>
        <v>7</v>
      </c>
      <c r="I26" s="57">
        <f t="shared" si="5"/>
        <v>7</v>
      </c>
      <c r="J26" s="57">
        <f t="shared" si="5"/>
        <v>7</v>
      </c>
      <c r="K26" s="57">
        <f t="shared" si="5"/>
        <v>6</v>
      </c>
      <c r="L26" s="57">
        <f t="shared" si="5"/>
        <v>6</v>
      </c>
      <c r="M26" s="57">
        <f t="shared" si="5"/>
        <v>6</v>
      </c>
      <c r="N26" s="57">
        <f t="shared" si="5"/>
        <v>7</v>
      </c>
      <c r="O26" s="57">
        <f t="shared" si="5"/>
        <v>7</v>
      </c>
      <c r="P26" s="57">
        <f t="shared" si="5"/>
        <v>7</v>
      </c>
      <c r="Q26" s="57">
        <f t="shared" si="5"/>
        <v>7</v>
      </c>
      <c r="R26" s="57">
        <f t="shared" si="5"/>
        <v>7</v>
      </c>
      <c r="S26" s="57">
        <f t="shared" si="5"/>
        <v>6</v>
      </c>
      <c r="T26" s="57">
        <f t="shared" si="5"/>
        <v>6</v>
      </c>
      <c r="U26" s="57">
        <f t="shared" si="5"/>
        <v>7</v>
      </c>
      <c r="V26" s="57">
        <f t="shared" si="5"/>
        <v>7</v>
      </c>
      <c r="W26" s="58">
        <f t="shared" si="5"/>
        <v>0</v>
      </c>
      <c r="X26" s="45">
        <f t="shared" ref="X26:AE26" si="6">SUM(X15:X25)</f>
        <v>100</v>
      </c>
      <c r="Y26" s="46">
        <f t="shared" si="6"/>
        <v>800</v>
      </c>
      <c r="Z26" s="46">
        <f t="shared" si="6"/>
        <v>0</v>
      </c>
      <c r="AA26" s="46">
        <f t="shared" si="6"/>
        <v>388</v>
      </c>
      <c r="AB26" s="46">
        <f t="shared" si="6"/>
        <v>0</v>
      </c>
      <c r="AC26" s="46">
        <f t="shared" si="6"/>
        <v>0</v>
      </c>
      <c r="AD26" s="46">
        <f t="shared" si="6"/>
        <v>0</v>
      </c>
      <c r="AE26" s="46">
        <f t="shared" si="6"/>
        <v>91</v>
      </c>
    </row>
    <row r="28" spans="2:31" ht="15.75" x14ac:dyDescent="0.25">
      <c r="B28" s="20" t="s">
        <v>28</v>
      </c>
      <c r="H28" s="88" t="s">
        <v>33</v>
      </c>
      <c r="I28" s="88"/>
      <c r="J28" s="88"/>
      <c r="K28" s="88"/>
      <c r="R28" s="88" t="s">
        <v>34</v>
      </c>
      <c r="S28" s="88"/>
      <c r="T28" s="88"/>
      <c r="U28" s="88"/>
      <c r="Z28" s="4"/>
      <c r="AA28" s="1" t="s">
        <v>16</v>
      </c>
      <c r="AB28" s="40"/>
      <c r="AC28" s="2"/>
      <c r="AD28" s="37"/>
      <c r="AE28" s="4"/>
    </row>
    <row r="29" spans="2:31" ht="15.75" x14ac:dyDescent="0.25">
      <c r="U29" s="3"/>
      <c r="Z29" s="37"/>
      <c r="AA29" s="24" t="s">
        <v>17</v>
      </c>
      <c r="AB29" s="41"/>
      <c r="AC29" s="6"/>
      <c r="AD29" s="37"/>
      <c r="AE29" s="3"/>
    </row>
    <row r="30" spans="2:31" ht="15.75" x14ac:dyDescent="0.25">
      <c r="U30" s="3"/>
      <c r="Z30" s="37"/>
      <c r="AA30" s="24" t="s">
        <v>18</v>
      </c>
      <c r="AB30" s="41"/>
      <c r="AC30" s="6"/>
      <c r="AD30" s="37"/>
      <c r="AE30" s="3"/>
    </row>
    <row r="31" spans="2:31" ht="15.75" x14ac:dyDescent="0.25">
      <c r="B31" s="89"/>
      <c r="C31" s="89"/>
      <c r="D31" s="89"/>
      <c r="E31" s="25"/>
      <c r="F31" s="25"/>
      <c r="G31" s="25"/>
      <c r="H31" s="89"/>
      <c r="I31" s="89"/>
      <c r="J31" s="89"/>
      <c r="K31" s="89"/>
      <c r="L31" s="89"/>
      <c r="M31" s="89"/>
      <c r="N31" s="89"/>
      <c r="O31" s="26"/>
      <c r="P31" s="26"/>
      <c r="Q31" s="26"/>
      <c r="R31" s="89"/>
      <c r="S31" s="89"/>
      <c r="T31" s="89"/>
      <c r="U31" s="89"/>
      <c r="V31" s="89"/>
      <c r="W31" s="89"/>
      <c r="X31" s="89"/>
      <c r="Z31" s="37"/>
      <c r="AA31" s="24" t="s">
        <v>19</v>
      </c>
      <c r="AB31" s="41"/>
      <c r="AC31" s="6"/>
      <c r="AD31" s="37"/>
      <c r="AE31" s="3"/>
    </row>
    <row r="32" spans="2:31" ht="15.75" customHeight="1" x14ac:dyDescent="0.25">
      <c r="B32" s="91" t="s">
        <v>29</v>
      </c>
      <c r="C32" s="91"/>
      <c r="D32" s="91"/>
      <c r="H32" s="90" t="s">
        <v>30</v>
      </c>
      <c r="I32" s="90"/>
      <c r="J32" s="90"/>
      <c r="K32" s="90"/>
      <c r="L32" s="90"/>
      <c r="M32" s="90"/>
      <c r="N32" s="90"/>
      <c r="O32" s="13"/>
      <c r="P32" s="13"/>
      <c r="Q32" s="13"/>
      <c r="R32" s="90" t="s">
        <v>31</v>
      </c>
      <c r="S32" s="90"/>
      <c r="T32" s="90"/>
      <c r="U32" s="90"/>
      <c r="V32" s="90"/>
      <c r="W32" s="90"/>
      <c r="X32" s="90"/>
      <c r="Z32" s="37"/>
      <c r="AA32" s="24" t="s">
        <v>20</v>
      </c>
      <c r="AB32" s="7"/>
      <c r="AC32" s="37"/>
      <c r="AD32" s="37"/>
      <c r="AE32" s="3"/>
    </row>
    <row r="33" spans="2:31" ht="15.75" x14ac:dyDescent="0.25">
      <c r="U33" s="3"/>
      <c r="Z33" s="37"/>
      <c r="AA33" s="24" t="s">
        <v>21</v>
      </c>
      <c r="AB33" s="41"/>
      <c r="AC33" s="6"/>
      <c r="AD33" s="37"/>
      <c r="AE33" s="3"/>
    </row>
    <row r="34" spans="2:31" ht="15.75" x14ac:dyDescent="0.25">
      <c r="U34" s="3"/>
      <c r="Z34" s="37"/>
      <c r="AA34" s="24" t="s">
        <v>22</v>
      </c>
      <c r="AB34" s="41"/>
      <c r="AC34" s="6"/>
      <c r="AD34" s="37"/>
      <c r="AE34" s="3"/>
    </row>
    <row r="35" spans="2:31" ht="15.75" x14ac:dyDescent="0.25">
      <c r="B35" s="21"/>
      <c r="C35" s="21"/>
      <c r="D35" s="21"/>
      <c r="E35" s="21"/>
      <c r="F35" s="21"/>
      <c r="G35" s="21"/>
      <c r="H35" s="21"/>
      <c r="I35" s="22"/>
      <c r="J35" s="22"/>
      <c r="K35" s="21"/>
      <c r="L35" s="21"/>
      <c r="M35" s="22"/>
      <c r="U35" s="7"/>
      <c r="Z35" s="37"/>
      <c r="AA35" s="24" t="s">
        <v>23</v>
      </c>
      <c r="AB35" s="7"/>
      <c r="AC35" s="37"/>
      <c r="AD35" s="37"/>
      <c r="AE35" s="3"/>
    </row>
    <row r="36" spans="2:31" ht="15.75" x14ac:dyDescent="0.25">
      <c r="B36" s="21" t="s">
        <v>32</v>
      </c>
      <c r="C36" s="23"/>
      <c r="D36" s="23"/>
      <c r="E36" s="23"/>
      <c r="F36" s="23"/>
      <c r="G36" s="23"/>
      <c r="H36" s="23"/>
      <c r="I36" s="23"/>
      <c r="J36" s="24"/>
      <c r="K36" s="24"/>
      <c r="L36" s="23"/>
      <c r="M36" s="23"/>
      <c r="N36" s="22"/>
      <c r="O36" s="21"/>
      <c r="U36" s="3"/>
      <c r="Z36" s="37"/>
      <c r="AA36" s="24" t="s">
        <v>24</v>
      </c>
      <c r="AB36" s="7"/>
      <c r="AC36" s="37"/>
      <c r="AD36" s="37"/>
      <c r="AE36" s="3"/>
    </row>
    <row r="37" spans="2:31" ht="15.75" x14ac:dyDescent="0.25">
      <c r="B37" s="22"/>
      <c r="C37" s="23"/>
      <c r="D37" s="24"/>
      <c r="E37" s="24"/>
      <c r="F37" s="24"/>
      <c r="G37" s="24"/>
      <c r="H37" s="24"/>
      <c r="I37" s="24"/>
      <c r="J37" s="24"/>
      <c r="K37" s="24"/>
      <c r="L37" s="23"/>
      <c r="M37" s="23"/>
      <c r="N37" s="22"/>
      <c r="O37" s="21"/>
      <c r="U37" s="3"/>
      <c r="Z37" s="37"/>
      <c r="AA37" s="24" t="s">
        <v>25</v>
      </c>
      <c r="AB37" s="7"/>
      <c r="AC37" s="37"/>
      <c r="AD37" s="37"/>
      <c r="AE37" s="3"/>
    </row>
    <row r="38" spans="2:31" ht="15.75" x14ac:dyDescent="0.25">
      <c r="B38" s="22"/>
      <c r="C38" s="23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2"/>
      <c r="O38" s="21"/>
      <c r="U38" s="3"/>
      <c r="Z38" s="37"/>
      <c r="AA38" s="39" t="s">
        <v>26</v>
      </c>
      <c r="AB38" s="42"/>
      <c r="AC38" s="38"/>
      <c r="AD38" s="37"/>
      <c r="AE38" s="3"/>
    </row>
    <row r="39" spans="2:31" ht="15.75" x14ac:dyDescent="0.25">
      <c r="U39" s="3"/>
      <c r="Z39" s="38"/>
      <c r="AA39" s="39" t="s">
        <v>27</v>
      </c>
      <c r="AB39" s="42"/>
      <c r="AC39" s="38"/>
      <c r="AD39" s="38"/>
      <c r="AE39" s="9"/>
    </row>
    <row r="40" spans="2:31" ht="15.75" x14ac:dyDescent="0.25">
      <c r="B40" s="20"/>
      <c r="C40" s="20"/>
      <c r="D40" s="20"/>
      <c r="E40" s="20"/>
      <c r="F40" s="20"/>
      <c r="G40" s="20"/>
      <c r="H40" s="20"/>
      <c r="I40" s="20"/>
      <c r="U40" s="8"/>
      <c r="Z40" s="38"/>
      <c r="AD40" s="38"/>
      <c r="AE40" s="9"/>
    </row>
    <row r="41" spans="2:31" ht="15.75" x14ac:dyDescent="0.25">
      <c r="U41" s="8"/>
      <c r="Z41" s="38"/>
      <c r="AD41" s="38"/>
      <c r="AE41" s="9"/>
    </row>
    <row r="52" spans="25:25" x14ac:dyDescent="0.25">
      <c r="Y52" s="36" t="s">
        <v>83</v>
      </c>
    </row>
  </sheetData>
  <sheetProtection insertRows="0"/>
  <mergeCells count="29">
    <mergeCell ref="C2:AE3"/>
    <mergeCell ref="C4:AE5"/>
    <mergeCell ref="R28:U28"/>
    <mergeCell ref="R31:X31"/>
    <mergeCell ref="R32:X32"/>
    <mergeCell ref="B32:D32"/>
    <mergeCell ref="H31:N31"/>
    <mergeCell ref="H32:N32"/>
    <mergeCell ref="B31:D31"/>
    <mergeCell ref="H28:K28"/>
    <mergeCell ref="C8:F8"/>
    <mergeCell ref="C6:AE6"/>
    <mergeCell ref="D10:E10"/>
    <mergeCell ref="D9:E9"/>
    <mergeCell ref="C12:C14"/>
    <mergeCell ref="D12:D14"/>
    <mergeCell ref="AD13:AD14"/>
    <mergeCell ref="AE12:AE14"/>
    <mergeCell ref="F12:F14"/>
    <mergeCell ref="G12:G14"/>
    <mergeCell ref="X13:X14"/>
    <mergeCell ref="Y13:Y14"/>
    <mergeCell ref="Z13:Z14"/>
    <mergeCell ref="B12:B14"/>
    <mergeCell ref="E26:F26"/>
    <mergeCell ref="AA13:AA14"/>
    <mergeCell ref="AB13:AB14"/>
    <mergeCell ref="AC13:AC14"/>
    <mergeCell ref="E12:E14"/>
  </mergeCells>
  <conditionalFormatting sqref="C15:AE25">
    <cfRule type="containsBlanks" dxfId="26" priority="33">
      <formula>LEN(TRIM(C15))=0</formula>
    </cfRule>
  </conditionalFormatting>
  <conditionalFormatting sqref="H12:W12">
    <cfRule type="expression" priority="30">
      <formula>TEXT($D$9+COLUMN()-COLUMN($H$12),"ddd")="Sun"</formula>
    </cfRule>
    <cfRule type="expression" dxfId="25" priority="31">
      <formula>TEXT($D$9+COLUMN()-COLUMN($H$12),"ddd")="Sun"</formula>
    </cfRule>
  </conditionalFormatting>
  <conditionalFormatting sqref="H14:W14">
    <cfRule type="containsBlanks" dxfId="24" priority="4">
      <formula>LEN(TRIM(H14))=0</formula>
    </cfRule>
    <cfRule type="expression" dxfId="23" priority="5">
      <formula>EXACT(H14, "S")</formula>
    </cfRule>
    <cfRule type="expression" dxfId="22" priority="6">
      <formula>EXACT(H14, "R")</formula>
    </cfRule>
    <cfRule type="expression" dxfId="21" priority="7">
      <formula>EXACT(H14, "T")</formula>
    </cfRule>
    <cfRule type="containsText" dxfId="20" priority="8" operator="containsText" text="SH">
      <formula>NOT(ISERROR(SEARCH("SH",H14)))</formula>
    </cfRule>
    <cfRule type="expression" dxfId="19" priority="9">
      <formula>EXACT(H14, "RS")</formula>
    </cfRule>
    <cfRule type="containsText" dxfId="18" priority="10" operator="containsText" text="LH">
      <formula>NOT(ISERROR(SEARCH("LH",H14)))</formula>
    </cfRule>
    <cfRule type="expression" dxfId="17" priority="11">
      <formula>EXACT(H14, "LR")</formula>
    </cfRule>
    <cfRule type="expression" dxfId="16" priority="12">
      <formula>EXACT(H14, "L")</formula>
    </cfRule>
    <cfRule type="expression" dxfId="15" priority="13">
      <formula>EXACT(H14, "D")</formula>
    </cfRule>
    <cfRule type="expression" dxfId="14" priority="14">
      <formula>EXACT(H14, "A")</formula>
    </cfRule>
  </conditionalFormatting>
  <conditionalFormatting sqref="H15:W15">
    <cfRule type="containsBlanks" dxfId="13" priority="15">
      <formula>LEN(TRIM(H15))=0</formula>
    </cfRule>
  </conditionalFormatting>
  <conditionalFormatting sqref="H15:W25">
    <cfRule type="containsText" dxfId="12" priority="1" operator="containsText" text="12">
      <formula>NOT(ISERROR(SEARCH("12",H15)))</formula>
    </cfRule>
    <cfRule type="expression" dxfId="11" priority="2">
      <formula>H$14="LH"</formula>
    </cfRule>
    <cfRule type="expression" dxfId="10" priority="3" stopIfTrue="1">
      <formula>H$14="SH"</formula>
    </cfRule>
    <cfRule type="expression" dxfId="9" priority="18">
      <formula>EXACT(H15, "S")</formula>
    </cfRule>
    <cfRule type="expression" dxfId="8" priority="19">
      <formula>EXACT(H15, "R")</formula>
    </cfRule>
    <cfRule type="expression" dxfId="7" priority="20">
      <formula>EXACT(H15, "T")</formula>
    </cfRule>
    <cfRule type="containsText" dxfId="6" priority="22" operator="containsText" text="SH">
      <formula>NOT(ISERROR(SEARCH("SH",H15)))</formula>
    </cfRule>
    <cfRule type="expression" dxfId="5" priority="23">
      <formula>EXACT(H15, "RS")</formula>
    </cfRule>
    <cfRule type="containsText" dxfId="4" priority="25" operator="containsText" text="RH">
      <formula>NOT(ISERROR(SEARCH("RH",H15)))</formula>
    </cfRule>
    <cfRule type="expression" dxfId="3" priority="26">
      <formula>EXACT(H15, "LR")</formula>
    </cfRule>
    <cfRule type="expression" dxfId="2" priority="27">
      <formula>EXACT(H15, "L")</formula>
    </cfRule>
    <cfRule type="expression" dxfId="1" priority="28">
      <formula>EXACT(H15, "D")</formula>
    </cfRule>
    <cfRule type="expression" dxfId="0" priority="29">
      <formula>EXACT(H15, "A")</formula>
    </cfRule>
  </conditionalFormatting>
  <dataValidations count="2">
    <dataValidation type="list" allowBlank="1" showInputMessage="1" showErrorMessage="1" sqref="H14:W14" xr:uid="{89F23C9A-6521-4FDA-B0F6-7DE8756590D6}">
      <formula1>"SH, LH"</formula1>
    </dataValidation>
    <dataValidation type="list" allowBlank="1" showInputMessage="1" showErrorMessage="1" sqref="H21:W25 R20:W20 H20:P20 H15:W19" xr:uid="{AAD76AFC-77E0-4112-89F8-283A66D15D18}">
      <formula1>#REF!</formula1>
    </dataValidation>
  </dataValidations>
  <pageMargins left="0" right="0" top="0" bottom="0.19685039370078741" header="0" footer="0"/>
  <pageSetup paperSize="7" scale="49" fitToHeight="0" orientation="landscape" r:id="rId1"/>
  <headerFooter scaleWithDoc="0"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BSOP 09-16-30-25</vt:lpstr>
      <vt:lpstr>'BSOP 09-16-30-25'!Print_Area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Teph Baay</dc:creator>
  <cp:lastModifiedBy>Teph Baay</cp:lastModifiedBy>
  <cp:lastPrinted>2025-10-03T01:13:28Z</cp:lastPrinted>
  <dcterms:created xsi:type="dcterms:W3CDTF">2025-09-25T07:44:03Z</dcterms:created>
  <dcterms:modified xsi:type="dcterms:W3CDTF">2025-11-20T01:02:54Z</dcterms:modified>
</cp:coreProperties>
</file>