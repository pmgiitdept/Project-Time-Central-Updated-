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0" documentId="8_{2C11357D-2B29-49D6-A42B-B0A69CA1782F}" xr6:coauthVersionLast="47" xr6:coauthVersionMax="47" xr10:uidLastSave="{00000000-0000-0000-0000-000000000000}"/>
  <bookViews>
    <workbookView xWindow="28680" yWindow="-120" windowWidth="20730" windowHeight="11040" xr2:uid="{7C8DC30F-F3EF-4D4C-B3CD-6BFE7BB3F08B}"/>
  </bookViews>
  <sheets>
    <sheet name="Sheet1" sheetId="1" r:id="rId1"/>
  </sheets>
  <definedNames>
    <definedName name="_xlnm._FilterDatabase" localSheetId="0" hidden="1">Sheet1!$A$7:$AI$41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H9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H8" i="1"/>
  <c r="AA41" i="1"/>
  <c r="AB41" i="1"/>
  <c r="AC41" i="1"/>
  <c r="AD41" i="1"/>
  <c r="AE41" i="1"/>
  <c r="AF41" i="1"/>
  <c r="Z41" i="1"/>
  <c r="W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H41" i="1"/>
  <c r="Y24" i="1"/>
  <c r="X11" i="1"/>
  <c r="Y11" i="1" s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10" i="1"/>
  <c r="Y10" i="1" s="1"/>
  <c r="X41" i="1" l="1"/>
  <c r="Y41" i="1" s="1"/>
</calcChain>
</file>

<file path=xl/sharedStrings.xml><?xml version="1.0" encoding="utf-8"?>
<sst xmlns="http://schemas.openxmlformats.org/spreadsheetml/2006/main" count="117" uniqueCount="93">
  <si>
    <t xml:space="preserve">PROJECT: </t>
  </si>
  <si>
    <t>DTR SUMMARY</t>
  </si>
  <si>
    <t>NAME</t>
  </si>
  <si>
    <t>NO</t>
  </si>
  <si>
    <t>LAST</t>
  </si>
  <si>
    <t>FIRST</t>
  </si>
  <si>
    <t>M. I.</t>
  </si>
  <si>
    <t xml:space="preserve">EMPLOYEE NO </t>
  </si>
  <si>
    <t>AREA</t>
  </si>
  <si>
    <t>TOTAL DAYS</t>
  </si>
  <si>
    <t>TOTAL HOURS</t>
  </si>
  <si>
    <t>REGULAR OT</t>
  </si>
  <si>
    <t>LEGAL HOLIDAY</t>
  </si>
  <si>
    <t>LEGAL HOLIDAY OT</t>
  </si>
  <si>
    <t>SPECIAL HOLIDAY</t>
  </si>
  <si>
    <t>SPECIAL HOLIDAY OT</t>
  </si>
  <si>
    <t>NIGHT DIFF</t>
  </si>
  <si>
    <t>UNDERTIME / LATE(MINUTES)</t>
  </si>
  <si>
    <t>SIGNATURE</t>
  </si>
  <si>
    <t>PERIOD COVERED</t>
  </si>
  <si>
    <t>DILIGNOGUN</t>
  </si>
  <si>
    <t>PAREDES</t>
  </si>
  <si>
    <t>UBAG</t>
  </si>
  <si>
    <t>CARONA</t>
  </si>
  <si>
    <t>FONTAMILLAS</t>
  </si>
  <si>
    <t>STA. ANA</t>
  </si>
  <si>
    <t>CABANA</t>
  </si>
  <si>
    <t>ABANCIA</t>
  </si>
  <si>
    <t>MAGARU</t>
  </si>
  <si>
    <t>DUPITAS</t>
  </si>
  <si>
    <t>AGUSTIN</t>
  </si>
  <si>
    <t>URIAN</t>
  </si>
  <si>
    <t>COSTALES</t>
  </si>
  <si>
    <t>BRIONES</t>
  </si>
  <si>
    <t>ALFARO</t>
  </si>
  <si>
    <t>ARIZABAL</t>
  </si>
  <si>
    <t>BUERE</t>
  </si>
  <si>
    <t>ROSALES</t>
  </si>
  <si>
    <t>MADELO</t>
  </si>
  <si>
    <t>ABASH</t>
  </si>
  <si>
    <t>SAMARLITA</t>
  </si>
  <si>
    <t>MARY ROSE</t>
  </si>
  <si>
    <t>CHARO</t>
  </si>
  <si>
    <t>RUEN</t>
  </si>
  <si>
    <t>KATHLEEN</t>
  </si>
  <si>
    <t>JESUS</t>
  </si>
  <si>
    <t>IMELDA ROWENA</t>
  </si>
  <si>
    <t>WILMAR</t>
  </si>
  <si>
    <t>MANILYNE</t>
  </si>
  <si>
    <t>RIZALDY</t>
  </si>
  <si>
    <t>GARY</t>
  </si>
  <si>
    <t>ROBINSON</t>
  </si>
  <si>
    <t>LENELYN</t>
  </si>
  <si>
    <t>MYCHERINE</t>
  </si>
  <si>
    <t>ANTHONY</t>
  </si>
  <si>
    <t>MARICEL</t>
  </si>
  <si>
    <t>MINERVA</t>
  </si>
  <si>
    <t>JONATHAN</t>
  </si>
  <si>
    <t>M</t>
  </si>
  <si>
    <t>L</t>
  </si>
  <si>
    <t>F</t>
  </si>
  <si>
    <t>D</t>
  </si>
  <si>
    <t>C</t>
  </si>
  <si>
    <t>T</t>
  </si>
  <si>
    <t>I</t>
  </si>
  <si>
    <t>S</t>
  </si>
  <si>
    <t>A</t>
  </si>
  <si>
    <t>R</t>
  </si>
  <si>
    <t>VICTORIA LG</t>
  </si>
  <si>
    <t>BISTRO UG</t>
  </si>
  <si>
    <t>FOODCHOICES 2ND</t>
  </si>
  <si>
    <t>SKIN STATION 3RD</t>
  </si>
  <si>
    <t>CRAVE 4TH</t>
  </si>
  <si>
    <t>STOCKMAN</t>
  </si>
  <si>
    <t>DOR</t>
  </si>
  <si>
    <t>FAIRVIEW TERRACES MALL</t>
  </si>
  <si>
    <t>FROM:</t>
  </si>
  <si>
    <t>TO:</t>
  </si>
  <si>
    <t xml:space="preserve">PREPARED BY: </t>
  </si>
  <si>
    <t>SUPERVISOR</t>
  </si>
  <si>
    <t>CHECKED BY:</t>
  </si>
  <si>
    <t>OPERATIONS OFFICER</t>
  </si>
  <si>
    <t>NOTED BY:</t>
  </si>
  <si>
    <t>CLIENT REPRESENTATIVE</t>
  </si>
  <si>
    <t>LEGEND:</t>
  </si>
  <si>
    <t>RD</t>
  </si>
  <si>
    <t>VL</t>
  </si>
  <si>
    <t>SUSPENDED</t>
  </si>
  <si>
    <t>SL</t>
  </si>
  <si>
    <t>SIL</t>
  </si>
  <si>
    <t>REST DAY</t>
  </si>
  <si>
    <t>Note:</t>
  </si>
  <si>
    <t>Date number and day column is automatic. To update, change the date range of period covered from and to. Make sure the format is dd/mm/yyyy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</si>
</sst>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mm\ d\,\ yyyy"/>
    <numFmt numFmtId="166" formatCode="[$-F800]dddd\,\ mmmm\ dd\,\ yyyy"/>
    <numFmt numFmtId="167" formatCode="[$-3409]mmmm\ dd\,\ yy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sz val="12"/>
      <color theme="1"/>
      <name val="Leelawadee"/>
      <family val="2"/>
    </font>
    <font>
      <b/>
      <sz val="12"/>
      <color theme="1"/>
      <name val="Leelawadee"/>
      <family val="2"/>
    </font>
    <font>
      <sz val="14"/>
      <color theme="1"/>
      <name val="Leelawadee"/>
      <family val="2"/>
    </font>
    <font>
      <b/>
      <sz val="14"/>
      <color theme="1"/>
      <name val="Leelawadee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2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/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vertical="center" wrapText="1"/>
    </xf>
    <xf numFmtId="166" fontId="2" fillId="2" borderId="0" xfId="0" applyNumberFormat="1" applyFont="1" applyFill="1" applyAlignment="1"/>
    <xf numFmtId="0" fontId="6" fillId="2" borderId="0" xfId="0" applyFont="1" applyFill="1" applyAlignment="1">
      <alignment horizontal="center" vertical="center"/>
    </xf>
    <xf numFmtId="167" fontId="5" fillId="2" borderId="0" xfId="0" applyNumberFormat="1" applyFont="1" applyFill="1" applyAlignment="1">
      <alignment horizontal="center"/>
    </xf>
    <xf numFmtId="14" fontId="1" fillId="2" borderId="0" xfId="0" applyNumberFormat="1" applyFont="1" applyFill="1"/>
    <xf numFmtId="0" fontId="1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/>
    <xf numFmtId="0" fontId="1" fillId="2" borderId="11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/>
    <xf numFmtId="0" fontId="2" fillId="3" borderId="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1" fillId="6" borderId="1" xfId="0" applyFont="1" applyFill="1" applyBorder="1"/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165" fontId="5" fillId="2" borderId="0" xfId="0" applyNumberFormat="1" applyFont="1" applyFill="1" applyAlignment="1">
      <alignment horizontal="center"/>
    </xf>
    <xf numFmtId="0" fontId="1" fillId="5" borderId="12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206657</xdr:colOff>
      <xdr:row>4</xdr:row>
      <xdr:rowOff>10404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0798348-4738-461D-9F6C-72EA6F62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838713" cy="91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7AE8-4D51-494A-8F72-548B0998B301}">
  <sheetPr>
    <tabColor theme="1"/>
    <pageSetUpPr fitToPage="1"/>
  </sheetPr>
  <dimension ref="A2:AI47"/>
  <sheetViews>
    <sheetView tabSelected="1" zoomScale="85" zoomScaleNormal="85" workbookViewId="0">
      <selection activeCell="B8" sqref="B8:AF9"/>
    </sheetView>
  </sheetViews>
  <sheetFormatPr defaultRowHeight="15" x14ac:dyDescent="0.25"/>
  <cols>
    <col min="1" max="1" width="4.5703125" style="1" bestFit="1" customWidth="1"/>
    <col min="2" max="2" width="20.28515625" style="1" customWidth="1"/>
    <col min="3" max="3" width="22.7109375" style="1" customWidth="1"/>
    <col min="4" max="4" width="6.28515625" style="1" customWidth="1"/>
    <col min="5" max="5" width="12.42578125" style="1" customWidth="1"/>
    <col min="6" max="6" width="9.140625" style="1"/>
    <col min="7" max="7" width="10.85546875" style="1" customWidth="1"/>
    <col min="8" max="23" width="5.7109375" style="1" customWidth="1"/>
    <col min="24" max="24" width="8.28515625" style="1" customWidth="1"/>
    <col min="25" max="25" width="8.5703125" style="1" customWidth="1"/>
    <col min="26" max="26" width="11.140625" style="1" customWidth="1"/>
    <col min="27" max="27" width="10.5703125" style="1" customWidth="1"/>
    <col min="28" max="28" width="13.85546875" style="1" customWidth="1"/>
    <col min="29" max="29" width="10.85546875" style="1" customWidth="1"/>
    <col min="30" max="30" width="13.28515625" style="1" customWidth="1"/>
    <col min="31" max="31" width="8" style="1" customWidth="1"/>
    <col min="32" max="32" width="17.7109375" style="1" customWidth="1"/>
    <col min="33" max="33" width="13.5703125" style="1" customWidth="1"/>
    <col min="34" max="34" width="12.7109375" style="1" customWidth="1"/>
    <col min="35" max="35" width="13.5703125" style="1" customWidth="1"/>
    <col min="36" max="16384" width="9.140625" style="1"/>
  </cols>
  <sheetData>
    <row r="2" spans="1:35" ht="18.75" x14ac:dyDescent="0.3">
      <c r="H2" s="2"/>
      <c r="I2" s="3"/>
      <c r="J2" s="3"/>
      <c r="K2" s="3"/>
      <c r="N2" s="4"/>
      <c r="O2" s="5" t="s">
        <v>1</v>
      </c>
      <c r="P2" s="6"/>
      <c r="Q2" s="6"/>
      <c r="R2" s="6"/>
      <c r="S2" s="6"/>
      <c r="T2" s="6"/>
      <c r="U2" s="6"/>
      <c r="V2" s="6"/>
    </row>
    <row r="3" spans="1:35" ht="18.75" x14ac:dyDescent="0.3">
      <c r="F3" s="7"/>
      <c r="G3" s="7"/>
      <c r="H3" s="7"/>
      <c r="I3" s="2"/>
      <c r="J3" s="2"/>
      <c r="K3" s="8"/>
      <c r="L3" s="8"/>
      <c r="M3" s="8"/>
      <c r="N3" s="9" t="s">
        <v>19</v>
      </c>
      <c r="O3" s="9"/>
      <c r="P3" s="9"/>
      <c r="Q3" s="9"/>
      <c r="R3" s="5" t="s">
        <v>76</v>
      </c>
      <c r="S3" s="5"/>
      <c r="T3" s="43">
        <v>45901</v>
      </c>
      <c r="U3" s="43"/>
      <c r="V3" s="43"/>
      <c r="W3" s="43"/>
      <c r="X3" s="43"/>
      <c r="Y3" s="43"/>
    </row>
    <row r="4" spans="1:35" ht="18.75" x14ac:dyDescent="0.3">
      <c r="E4" s="11"/>
      <c r="F4" s="7"/>
      <c r="G4" s="7"/>
      <c r="H4" s="7"/>
      <c r="I4" s="2"/>
      <c r="J4" s="2"/>
      <c r="K4" s="8"/>
      <c r="L4" s="8"/>
      <c r="M4" s="8"/>
      <c r="N4" s="9"/>
      <c r="O4" s="9"/>
      <c r="P4" s="9"/>
      <c r="Q4" s="9"/>
      <c r="R4" s="5" t="s">
        <v>77</v>
      </c>
      <c r="S4" s="5"/>
      <c r="T4" s="10">
        <v>45915</v>
      </c>
      <c r="U4" s="10"/>
      <c r="V4" s="10"/>
      <c r="W4" s="10"/>
      <c r="X4" s="10"/>
      <c r="Y4" s="10"/>
    </row>
    <row r="6" spans="1:35" ht="15.75" x14ac:dyDescent="0.25">
      <c r="A6" s="29"/>
    </row>
    <row r="7" spans="1:35" ht="15.75" x14ac:dyDescent="0.25">
      <c r="B7" s="28" t="s">
        <v>0</v>
      </c>
      <c r="C7" s="26" t="s">
        <v>75</v>
      </c>
      <c r="D7" s="27"/>
      <c r="E7" s="27"/>
    </row>
    <row r="8" spans="1:35" ht="15" customHeight="1" x14ac:dyDescent="0.25">
      <c r="A8" s="47"/>
      <c r="B8" s="46" t="s">
        <v>2</v>
      </c>
      <c r="C8" s="44"/>
      <c r="D8" s="45"/>
      <c r="E8" s="31" t="s">
        <v>7</v>
      </c>
      <c r="F8" s="33" t="s">
        <v>8</v>
      </c>
      <c r="G8" s="34"/>
      <c r="H8" s="30" t="str">
        <f>IF(COLUMN()-COLUMN($H$8)&lt;=$T$4-$T$3+1, TEXT($T$3+COLUMN()-COLUMN($H$8),"ddd"), "")</f>
        <v>Mon</v>
      </c>
      <c r="I8" s="30" t="str">
        <f t="shared" ref="I8:W8" si="0">IF(COLUMN()-COLUMN($H$8)&lt;=$T$4-$T$3+1, TEXT($T$3+COLUMN()-COLUMN($H$8),"ddd"), "")</f>
        <v>Tue</v>
      </c>
      <c r="J8" s="30" t="str">
        <f t="shared" si="0"/>
        <v>Wed</v>
      </c>
      <c r="K8" s="30" t="str">
        <f t="shared" si="0"/>
        <v>Thu</v>
      </c>
      <c r="L8" s="30" t="str">
        <f t="shared" si="0"/>
        <v>Fri</v>
      </c>
      <c r="M8" s="30" t="str">
        <f t="shared" si="0"/>
        <v>Sat</v>
      </c>
      <c r="N8" s="30" t="str">
        <f t="shared" si="0"/>
        <v>Sun</v>
      </c>
      <c r="O8" s="30" t="str">
        <f t="shared" si="0"/>
        <v>Mon</v>
      </c>
      <c r="P8" s="30" t="str">
        <f t="shared" si="0"/>
        <v>Tue</v>
      </c>
      <c r="Q8" s="30" t="str">
        <f t="shared" si="0"/>
        <v>Wed</v>
      </c>
      <c r="R8" s="30" t="str">
        <f t="shared" si="0"/>
        <v>Thu</v>
      </c>
      <c r="S8" s="30" t="str">
        <f t="shared" si="0"/>
        <v>Fri</v>
      </c>
      <c r="T8" s="30" t="str">
        <f t="shared" si="0"/>
        <v>Sat</v>
      </c>
      <c r="U8" s="30" t="str">
        <f t="shared" si="0"/>
        <v>Sun</v>
      </c>
      <c r="V8" s="30" t="str">
        <f t="shared" si="0"/>
        <v>Mon</v>
      </c>
      <c r="W8" s="30" t="str">
        <f t="shared" si="0"/>
        <v>Tue</v>
      </c>
      <c r="X8" s="31" t="s">
        <v>9</v>
      </c>
      <c r="Y8" s="31" t="s">
        <v>10</v>
      </c>
      <c r="Z8" s="31" t="s">
        <v>11</v>
      </c>
      <c r="AA8" s="31" t="s">
        <v>12</v>
      </c>
      <c r="AB8" s="31" t="s">
        <v>13</v>
      </c>
      <c r="AC8" s="31" t="s">
        <v>14</v>
      </c>
      <c r="AD8" s="31" t="s">
        <v>15</v>
      </c>
      <c r="AE8" s="31" t="s">
        <v>16</v>
      </c>
      <c r="AF8" s="31" t="s">
        <v>17</v>
      </c>
      <c r="AG8" s="31" t="s">
        <v>18</v>
      </c>
    </row>
    <row r="9" spans="1:35" x14ac:dyDescent="0.25">
      <c r="A9" s="37" t="s">
        <v>3</v>
      </c>
      <c r="B9" s="37" t="s">
        <v>4</v>
      </c>
      <c r="C9" s="37" t="s">
        <v>5</v>
      </c>
      <c r="D9" s="37" t="s">
        <v>6</v>
      </c>
      <c r="E9" s="32"/>
      <c r="F9" s="35"/>
      <c r="G9" s="36"/>
      <c r="H9" s="30">
        <f>IF(COLUMN()-COLUMN($H$9)&lt;=$T$4-$T$3+1, DAY($T$3+COLUMN()-COLUMN($H$9)), "")</f>
        <v>1</v>
      </c>
      <c r="I9" s="30">
        <f t="shared" ref="I9:W9" si="1">IF(COLUMN()-COLUMN($H$9)&lt;=$T$4-$T$3+1, DAY($T$3+COLUMN()-COLUMN($H$9)), "")</f>
        <v>2</v>
      </c>
      <c r="J9" s="30">
        <f t="shared" si="1"/>
        <v>3</v>
      </c>
      <c r="K9" s="30">
        <f t="shared" si="1"/>
        <v>4</v>
      </c>
      <c r="L9" s="30">
        <f t="shared" si="1"/>
        <v>5</v>
      </c>
      <c r="M9" s="30">
        <f t="shared" si="1"/>
        <v>6</v>
      </c>
      <c r="N9" s="30">
        <f t="shared" si="1"/>
        <v>7</v>
      </c>
      <c r="O9" s="30">
        <f t="shared" si="1"/>
        <v>8</v>
      </c>
      <c r="P9" s="30">
        <f t="shared" si="1"/>
        <v>9</v>
      </c>
      <c r="Q9" s="30">
        <f t="shared" si="1"/>
        <v>10</v>
      </c>
      <c r="R9" s="30">
        <f t="shared" si="1"/>
        <v>11</v>
      </c>
      <c r="S9" s="30">
        <f t="shared" si="1"/>
        <v>12</v>
      </c>
      <c r="T9" s="30">
        <f t="shared" si="1"/>
        <v>13</v>
      </c>
      <c r="U9" s="30">
        <f t="shared" si="1"/>
        <v>14</v>
      </c>
      <c r="V9" s="30">
        <f t="shared" si="1"/>
        <v>15</v>
      </c>
      <c r="W9" s="30">
        <f t="shared" si="1"/>
        <v>16</v>
      </c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 spans="1:35" x14ac:dyDescent="0.25">
      <c r="A10" s="13">
        <v>1</v>
      </c>
      <c r="B10" s="1" t="s">
        <v>20</v>
      </c>
      <c r="C10" s="14" t="s">
        <v>39</v>
      </c>
      <c r="D10" s="15" t="s">
        <v>58</v>
      </c>
      <c r="E10" s="15">
        <v>3757</v>
      </c>
      <c r="F10" s="16" t="s">
        <v>68</v>
      </c>
      <c r="G10" s="12"/>
      <c r="H10" s="15">
        <v>8</v>
      </c>
      <c r="I10" s="15">
        <v>8</v>
      </c>
      <c r="J10" s="15">
        <v>8</v>
      </c>
      <c r="K10" s="15">
        <v>8</v>
      </c>
      <c r="L10" s="15">
        <v>8</v>
      </c>
      <c r="M10" s="15"/>
      <c r="N10" s="15"/>
      <c r="O10" s="15">
        <v>8</v>
      </c>
      <c r="P10" s="15">
        <v>8</v>
      </c>
      <c r="Q10" s="15">
        <v>8</v>
      </c>
      <c r="R10" s="15"/>
      <c r="S10" s="15"/>
      <c r="T10" s="15">
        <v>8</v>
      </c>
      <c r="U10" s="15">
        <v>8</v>
      </c>
      <c r="V10" s="15">
        <v>8</v>
      </c>
      <c r="W10" s="15"/>
      <c r="X10" s="15">
        <f>COUNT(H10:W10)</f>
        <v>11</v>
      </c>
      <c r="Y10" s="15">
        <f>X10*8</f>
        <v>88</v>
      </c>
      <c r="Z10" s="15">
        <v>33</v>
      </c>
      <c r="AA10" s="14"/>
      <c r="AB10" s="14"/>
      <c r="AC10" s="14"/>
      <c r="AD10" s="14"/>
      <c r="AE10" s="14"/>
      <c r="AF10" s="14"/>
      <c r="AG10" s="14"/>
      <c r="AI10" s="17"/>
    </row>
    <row r="11" spans="1:35" x14ac:dyDescent="0.25">
      <c r="A11" s="13">
        <v>2</v>
      </c>
      <c r="B11" s="14" t="s">
        <v>21</v>
      </c>
      <c r="C11" s="14" t="s">
        <v>40</v>
      </c>
      <c r="D11" s="15" t="s">
        <v>58</v>
      </c>
      <c r="E11" s="15">
        <v>3789</v>
      </c>
      <c r="F11" s="16" t="s">
        <v>68</v>
      </c>
      <c r="G11" s="12"/>
      <c r="H11" s="15">
        <v>8</v>
      </c>
      <c r="I11" s="15">
        <v>8</v>
      </c>
      <c r="J11" s="15">
        <v>8</v>
      </c>
      <c r="K11" s="15">
        <v>8</v>
      </c>
      <c r="L11" s="15">
        <v>8</v>
      </c>
      <c r="M11" s="15">
        <v>8</v>
      </c>
      <c r="N11" s="15">
        <v>8</v>
      </c>
      <c r="O11" s="15">
        <v>8</v>
      </c>
      <c r="P11" s="15">
        <v>8</v>
      </c>
      <c r="Q11" s="15">
        <v>8</v>
      </c>
      <c r="R11" s="15"/>
      <c r="S11" s="15"/>
      <c r="T11" s="15"/>
      <c r="U11" s="15"/>
      <c r="V11" s="15"/>
      <c r="W11" s="15"/>
      <c r="X11" s="15">
        <f t="shared" ref="X11:X40" si="2">COUNT(H11:W11)</f>
        <v>10</v>
      </c>
      <c r="Y11" s="15">
        <f t="shared" ref="Y11:Y41" si="3">X11*8</f>
        <v>80</v>
      </c>
      <c r="Z11" s="15">
        <v>30</v>
      </c>
      <c r="AA11" s="14"/>
      <c r="AB11" s="14"/>
      <c r="AC11" s="14"/>
      <c r="AD11" s="14"/>
      <c r="AE11" s="14"/>
      <c r="AF11" s="14"/>
      <c r="AG11" s="14"/>
    </row>
    <row r="12" spans="1:35" x14ac:dyDescent="0.25">
      <c r="A12" s="13">
        <v>3</v>
      </c>
      <c r="B12" s="14" t="s">
        <v>22</v>
      </c>
      <c r="C12" s="14" t="s">
        <v>41</v>
      </c>
      <c r="D12" s="15" t="s">
        <v>59</v>
      </c>
      <c r="E12" s="15">
        <v>3803</v>
      </c>
      <c r="F12" s="16" t="s">
        <v>69</v>
      </c>
      <c r="G12" s="12"/>
      <c r="H12" s="15">
        <v>8</v>
      </c>
      <c r="I12" s="15"/>
      <c r="J12" s="15">
        <v>8</v>
      </c>
      <c r="K12" s="15">
        <v>8</v>
      </c>
      <c r="L12" s="15"/>
      <c r="M12" s="15"/>
      <c r="N12" s="15"/>
      <c r="O12" s="15">
        <v>8</v>
      </c>
      <c r="P12" s="15">
        <v>8</v>
      </c>
      <c r="Q12" s="15">
        <v>8</v>
      </c>
      <c r="R12" s="15">
        <v>8</v>
      </c>
      <c r="S12" s="15"/>
      <c r="T12" s="15">
        <v>8</v>
      </c>
      <c r="U12" s="15">
        <v>8</v>
      </c>
      <c r="V12" s="15">
        <v>8</v>
      </c>
      <c r="W12" s="15"/>
      <c r="X12" s="15">
        <f t="shared" si="2"/>
        <v>10</v>
      </c>
      <c r="Y12" s="15">
        <f t="shared" si="3"/>
        <v>80</v>
      </c>
      <c r="Z12" s="15">
        <v>30</v>
      </c>
      <c r="AA12" s="14"/>
      <c r="AB12" s="14"/>
      <c r="AC12" s="14"/>
      <c r="AD12" s="14"/>
      <c r="AE12" s="14"/>
      <c r="AF12" s="14"/>
      <c r="AG12" s="14"/>
      <c r="AI12" s="17"/>
    </row>
    <row r="13" spans="1:35" x14ac:dyDescent="0.25">
      <c r="A13" s="13">
        <v>4</v>
      </c>
      <c r="B13" s="14" t="s">
        <v>23</v>
      </c>
      <c r="C13" s="14" t="s">
        <v>42</v>
      </c>
      <c r="D13" s="15" t="s">
        <v>59</v>
      </c>
      <c r="E13" s="15">
        <v>2834</v>
      </c>
      <c r="F13" s="16" t="s">
        <v>69</v>
      </c>
      <c r="G13" s="12"/>
      <c r="H13" s="15"/>
      <c r="I13" s="15"/>
      <c r="J13" s="15"/>
      <c r="K13" s="15"/>
      <c r="L13" s="15"/>
      <c r="M13" s="15">
        <v>8</v>
      </c>
      <c r="N13" s="15">
        <v>8</v>
      </c>
      <c r="O13" s="15"/>
      <c r="P13" s="15">
        <v>8</v>
      </c>
      <c r="Q13" s="15">
        <v>8</v>
      </c>
      <c r="R13" s="15">
        <v>8</v>
      </c>
      <c r="S13" s="15">
        <v>8</v>
      </c>
      <c r="T13" s="15">
        <v>8</v>
      </c>
      <c r="U13" s="15">
        <v>8</v>
      </c>
      <c r="V13" s="15">
        <v>8</v>
      </c>
      <c r="W13" s="15"/>
      <c r="X13" s="15">
        <f t="shared" si="2"/>
        <v>9</v>
      </c>
      <c r="Y13" s="15">
        <f t="shared" si="3"/>
        <v>72</v>
      </c>
      <c r="Z13" s="15">
        <v>30</v>
      </c>
      <c r="AA13" s="14"/>
      <c r="AB13" s="14"/>
      <c r="AC13" s="14"/>
      <c r="AD13" s="14"/>
      <c r="AE13" s="14"/>
      <c r="AF13" s="14"/>
      <c r="AG13" s="14"/>
    </row>
    <row r="14" spans="1:35" x14ac:dyDescent="0.25">
      <c r="A14" s="13">
        <v>5</v>
      </c>
      <c r="B14" s="14" t="s">
        <v>24</v>
      </c>
      <c r="C14" s="14" t="s">
        <v>43</v>
      </c>
      <c r="D14" s="15" t="s">
        <v>60</v>
      </c>
      <c r="E14" s="15">
        <v>3762</v>
      </c>
      <c r="F14" s="16" t="s">
        <v>70</v>
      </c>
      <c r="G14" s="12"/>
      <c r="H14" s="15">
        <v>8</v>
      </c>
      <c r="I14" s="15">
        <v>8</v>
      </c>
      <c r="J14" s="15">
        <v>8</v>
      </c>
      <c r="K14" s="15">
        <v>8</v>
      </c>
      <c r="L14" s="15">
        <v>8</v>
      </c>
      <c r="M14" s="15">
        <v>8</v>
      </c>
      <c r="N14" s="15">
        <v>8</v>
      </c>
      <c r="O14" s="15"/>
      <c r="P14" s="15"/>
      <c r="Q14" s="15"/>
      <c r="R14" s="15">
        <v>8</v>
      </c>
      <c r="S14" s="15">
        <v>8</v>
      </c>
      <c r="T14" s="15">
        <v>8</v>
      </c>
      <c r="U14" s="15">
        <v>8</v>
      </c>
      <c r="V14" s="15">
        <v>8</v>
      </c>
      <c r="W14" s="15"/>
      <c r="X14" s="15">
        <f t="shared" si="2"/>
        <v>12</v>
      </c>
      <c r="Y14" s="15">
        <f t="shared" si="3"/>
        <v>96</v>
      </c>
      <c r="Z14" s="15">
        <v>36</v>
      </c>
      <c r="AA14" s="14"/>
      <c r="AB14" s="14"/>
      <c r="AC14" s="14"/>
      <c r="AD14" s="14"/>
      <c r="AE14" s="14"/>
      <c r="AF14" s="14"/>
      <c r="AG14" s="14"/>
    </row>
    <row r="15" spans="1:35" x14ac:dyDescent="0.25">
      <c r="A15" s="13">
        <v>6</v>
      </c>
      <c r="B15" s="14" t="s">
        <v>25</v>
      </c>
      <c r="C15" s="14" t="s">
        <v>44</v>
      </c>
      <c r="D15" s="15" t="s">
        <v>61</v>
      </c>
      <c r="E15" s="15">
        <v>3801</v>
      </c>
      <c r="F15" s="16" t="s">
        <v>70</v>
      </c>
      <c r="G15" s="12"/>
      <c r="H15" s="15">
        <v>8</v>
      </c>
      <c r="I15" s="15">
        <v>8</v>
      </c>
      <c r="J15" s="15">
        <v>8</v>
      </c>
      <c r="K15" s="15">
        <v>8</v>
      </c>
      <c r="L15" s="15">
        <v>8</v>
      </c>
      <c r="M15" s="15"/>
      <c r="N15" s="15"/>
      <c r="O15" s="15"/>
      <c r="P15" s="15"/>
      <c r="Q15" s="15"/>
      <c r="R15" s="15">
        <v>8</v>
      </c>
      <c r="S15" s="15">
        <v>8</v>
      </c>
      <c r="T15" s="15">
        <v>8</v>
      </c>
      <c r="U15" s="15">
        <v>8</v>
      </c>
      <c r="V15" s="15">
        <v>8</v>
      </c>
      <c r="W15" s="15"/>
      <c r="X15" s="15">
        <f t="shared" si="2"/>
        <v>10</v>
      </c>
      <c r="Y15" s="15">
        <f t="shared" si="3"/>
        <v>80</v>
      </c>
      <c r="Z15" s="15">
        <v>30</v>
      </c>
      <c r="AA15" s="14"/>
      <c r="AB15" s="14"/>
      <c r="AC15" s="14"/>
      <c r="AD15" s="14"/>
      <c r="AE15" s="14"/>
      <c r="AF15" s="14"/>
      <c r="AG15" s="14"/>
    </row>
    <row r="16" spans="1:35" x14ac:dyDescent="0.25">
      <c r="A16" s="13">
        <v>7</v>
      </c>
      <c r="B16" s="14" t="s">
        <v>26</v>
      </c>
      <c r="C16" s="14" t="s">
        <v>45</v>
      </c>
      <c r="D16" s="15" t="s">
        <v>62</v>
      </c>
      <c r="E16" s="15">
        <v>3747</v>
      </c>
      <c r="F16" s="16" t="s">
        <v>71</v>
      </c>
      <c r="G16" s="12"/>
      <c r="H16" s="15">
        <v>8</v>
      </c>
      <c r="I16" s="15"/>
      <c r="J16" s="15">
        <v>8</v>
      </c>
      <c r="K16" s="15">
        <v>8</v>
      </c>
      <c r="L16" s="15"/>
      <c r="M16" s="15">
        <v>8</v>
      </c>
      <c r="N16" s="15">
        <v>8</v>
      </c>
      <c r="O16" s="15">
        <v>8</v>
      </c>
      <c r="P16" s="15">
        <v>8</v>
      </c>
      <c r="Q16" s="15">
        <v>8</v>
      </c>
      <c r="R16" s="15">
        <v>8</v>
      </c>
      <c r="S16" s="15">
        <v>8</v>
      </c>
      <c r="T16" s="15">
        <v>8</v>
      </c>
      <c r="U16" s="15">
        <v>8</v>
      </c>
      <c r="V16" s="15">
        <v>8</v>
      </c>
      <c r="W16" s="15"/>
      <c r="X16" s="15">
        <f t="shared" si="2"/>
        <v>13</v>
      </c>
      <c r="Y16" s="15">
        <f t="shared" si="3"/>
        <v>104</v>
      </c>
      <c r="Z16" s="15">
        <v>39</v>
      </c>
      <c r="AA16" s="14"/>
      <c r="AB16" s="14"/>
      <c r="AC16" s="14"/>
      <c r="AD16" s="14"/>
      <c r="AE16" s="14"/>
      <c r="AF16" s="14"/>
      <c r="AG16" s="14"/>
    </row>
    <row r="17" spans="1:33" x14ac:dyDescent="0.25">
      <c r="A17" s="13">
        <v>8</v>
      </c>
      <c r="B17" s="14" t="s">
        <v>27</v>
      </c>
      <c r="C17" s="14" t="s">
        <v>46</v>
      </c>
      <c r="D17" s="15" t="s">
        <v>62</v>
      </c>
      <c r="E17" s="15">
        <v>3969</v>
      </c>
      <c r="F17" s="16" t="s">
        <v>71</v>
      </c>
      <c r="G17" s="12"/>
      <c r="H17" s="15">
        <v>8</v>
      </c>
      <c r="I17" s="15">
        <v>8</v>
      </c>
      <c r="J17" s="15">
        <v>8</v>
      </c>
      <c r="K17" s="15">
        <v>8</v>
      </c>
      <c r="L17" s="15">
        <v>8</v>
      </c>
      <c r="M17" s="15">
        <v>8</v>
      </c>
      <c r="N17" s="15">
        <v>8</v>
      </c>
      <c r="O17" s="15">
        <v>8</v>
      </c>
      <c r="P17" s="15">
        <v>8</v>
      </c>
      <c r="Q17" s="15">
        <v>8</v>
      </c>
      <c r="R17" s="15"/>
      <c r="S17" s="15"/>
      <c r="T17" s="15"/>
      <c r="U17" s="15"/>
      <c r="V17" s="15"/>
      <c r="W17" s="15"/>
      <c r="X17" s="15">
        <f t="shared" si="2"/>
        <v>10</v>
      </c>
      <c r="Y17" s="15">
        <f t="shared" si="3"/>
        <v>80</v>
      </c>
      <c r="Z17" s="15">
        <v>30</v>
      </c>
      <c r="AA17" s="14"/>
      <c r="AB17" s="14"/>
      <c r="AC17" s="14"/>
      <c r="AD17" s="14"/>
      <c r="AE17" s="14"/>
      <c r="AF17" s="14"/>
      <c r="AG17" s="14"/>
    </row>
    <row r="18" spans="1:33" x14ac:dyDescent="0.25">
      <c r="A18" s="13">
        <v>9</v>
      </c>
      <c r="B18" s="14" t="s">
        <v>28</v>
      </c>
      <c r="C18" s="14" t="s">
        <v>47</v>
      </c>
      <c r="D18" s="15" t="s">
        <v>63</v>
      </c>
      <c r="E18" s="15">
        <v>3780</v>
      </c>
      <c r="F18" s="16" t="s">
        <v>72</v>
      </c>
      <c r="G18" s="12"/>
      <c r="H18" s="15">
        <v>8</v>
      </c>
      <c r="I18" s="15">
        <v>8</v>
      </c>
      <c r="J18" s="15">
        <v>8</v>
      </c>
      <c r="K18" s="15">
        <v>8</v>
      </c>
      <c r="L18" s="15">
        <v>8</v>
      </c>
      <c r="M18" s="15">
        <v>8</v>
      </c>
      <c r="N18" s="15">
        <v>8</v>
      </c>
      <c r="O18" s="15">
        <v>8</v>
      </c>
      <c r="P18" s="15">
        <v>8</v>
      </c>
      <c r="Q18" s="15">
        <v>8</v>
      </c>
      <c r="R18" s="15"/>
      <c r="S18" s="15"/>
      <c r="T18" s="15"/>
      <c r="U18" s="15">
        <v>8</v>
      </c>
      <c r="V18" s="15">
        <v>8</v>
      </c>
      <c r="W18" s="15"/>
      <c r="X18" s="15">
        <f t="shared" si="2"/>
        <v>12</v>
      </c>
      <c r="Y18" s="15">
        <f t="shared" si="3"/>
        <v>96</v>
      </c>
      <c r="Z18" s="15">
        <v>36</v>
      </c>
      <c r="AA18" s="14"/>
      <c r="AB18" s="14"/>
      <c r="AC18" s="14"/>
      <c r="AD18" s="14"/>
      <c r="AE18" s="14"/>
      <c r="AF18" s="14"/>
      <c r="AG18" s="14"/>
    </row>
    <row r="19" spans="1:33" x14ac:dyDescent="0.25">
      <c r="A19" s="13">
        <v>10</v>
      </c>
      <c r="B19" s="14" t="s">
        <v>29</v>
      </c>
      <c r="C19" s="14" t="s">
        <v>48</v>
      </c>
      <c r="D19" s="15" t="s">
        <v>64</v>
      </c>
      <c r="E19" s="15">
        <v>3760</v>
      </c>
      <c r="F19" s="16" t="s">
        <v>72</v>
      </c>
      <c r="G19" s="12"/>
      <c r="H19" s="15">
        <v>8</v>
      </c>
      <c r="I19" s="15">
        <v>8</v>
      </c>
      <c r="J19" s="15">
        <v>8</v>
      </c>
      <c r="K19" s="15">
        <v>8</v>
      </c>
      <c r="L19" s="15">
        <v>8</v>
      </c>
      <c r="M19" s="15">
        <v>8</v>
      </c>
      <c r="N19" s="15">
        <v>8</v>
      </c>
      <c r="O19" s="15">
        <v>8</v>
      </c>
      <c r="P19" s="15"/>
      <c r="Q19" s="15"/>
      <c r="R19" s="15">
        <v>8</v>
      </c>
      <c r="S19" s="15">
        <v>8</v>
      </c>
      <c r="T19" s="15"/>
      <c r="U19" s="15"/>
      <c r="V19" s="15"/>
      <c r="W19" s="15"/>
      <c r="X19" s="15">
        <f t="shared" si="2"/>
        <v>10</v>
      </c>
      <c r="Y19" s="15">
        <f t="shared" si="3"/>
        <v>80</v>
      </c>
      <c r="Z19" s="15">
        <v>28</v>
      </c>
      <c r="AA19" s="14"/>
      <c r="AB19" s="14"/>
      <c r="AC19" s="14"/>
      <c r="AD19" s="14"/>
      <c r="AE19" s="14"/>
      <c r="AF19" s="14"/>
      <c r="AG19" s="14"/>
    </row>
    <row r="20" spans="1:33" x14ac:dyDescent="0.25">
      <c r="A20" s="13">
        <v>11</v>
      </c>
      <c r="B20" s="14" t="s">
        <v>30</v>
      </c>
      <c r="C20" s="14" t="s">
        <v>49</v>
      </c>
      <c r="D20" s="15" t="s">
        <v>65</v>
      </c>
      <c r="E20" s="15">
        <v>3735</v>
      </c>
      <c r="F20" s="16" t="s">
        <v>73</v>
      </c>
      <c r="G20" s="12"/>
      <c r="H20" s="15"/>
      <c r="I20" s="15">
        <v>8</v>
      </c>
      <c r="J20" s="15"/>
      <c r="K20" s="15"/>
      <c r="L20" s="15">
        <v>8</v>
      </c>
      <c r="M20" s="15">
        <v>8</v>
      </c>
      <c r="N20" s="15">
        <v>8</v>
      </c>
      <c r="O20" s="15"/>
      <c r="P20" s="15">
        <v>8</v>
      </c>
      <c r="Q20" s="15"/>
      <c r="R20" s="15"/>
      <c r="S20" s="15">
        <v>8</v>
      </c>
      <c r="T20" s="15">
        <v>8</v>
      </c>
      <c r="U20" s="15">
        <v>8</v>
      </c>
      <c r="V20" s="15"/>
      <c r="W20" s="15"/>
      <c r="X20" s="15">
        <f t="shared" si="2"/>
        <v>8</v>
      </c>
      <c r="Y20" s="15">
        <f t="shared" si="3"/>
        <v>64</v>
      </c>
      <c r="Z20" s="15">
        <v>32</v>
      </c>
      <c r="AA20" s="14"/>
      <c r="AB20" s="14"/>
      <c r="AC20" s="14"/>
      <c r="AD20" s="14"/>
      <c r="AE20" s="14"/>
      <c r="AF20" s="14"/>
      <c r="AG20" s="14"/>
    </row>
    <row r="21" spans="1:33" x14ac:dyDescent="0.25">
      <c r="A21" s="13">
        <v>12</v>
      </c>
      <c r="B21" s="14" t="s">
        <v>31</v>
      </c>
      <c r="C21" s="14" t="s">
        <v>50</v>
      </c>
      <c r="D21" s="15" t="s">
        <v>58</v>
      </c>
      <c r="E21" s="15">
        <v>3805</v>
      </c>
      <c r="F21" s="16" t="s">
        <v>74</v>
      </c>
      <c r="G21" s="12"/>
      <c r="H21" s="15"/>
      <c r="I21" s="15">
        <v>8</v>
      </c>
      <c r="J21" s="15"/>
      <c r="K21" s="15"/>
      <c r="L21" s="15">
        <v>8</v>
      </c>
      <c r="M21" s="15">
        <v>8</v>
      </c>
      <c r="N21" s="15">
        <v>8</v>
      </c>
      <c r="O21" s="15"/>
      <c r="P21" s="15"/>
      <c r="Q21" s="15"/>
      <c r="R21" s="15"/>
      <c r="S21" s="15">
        <v>8</v>
      </c>
      <c r="T21" s="15">
        <v>8</v>
      </c>
      <c r="U21" s="15"/>
      <c r="V21" s="15"/>
      <c r="W21" s="15"/>
      <c r="X21" s="15">
        <f t="shared" si="2"/>
        <v>6</v>
      </c>
      <c r="Y21" s="15">
        <f t="shared" si="3"/>
        <v>48</v>
      </c>
      <c r="Z21" s="15">
        <v>18</v>
      </c>
      <c r="AA21" s="14"/>
      <c r="AB21" s="14"/>
      <c r="AC21" s="14"/>
      <c r="AD21" s="14"/>
      <c r="AE21" s="14"/>
      <c r="AF21" s="14"/>
      <c r="AG21" s="14"/>
    </row>
    <row r="22" spans="1:33" x14ac:dyDescent="0.25">
      <c r="A22" s="13">
        <v>13</v>
      </c>
      <c r="B22" s="14" t="s">
        <v>32</v>
      </c>
      <c r="C22" s="14" t="s">
        <v>51</v>
      </c>
      <c r="D22" s="15" t="s">
        <v>66</v>
      </c>
      <c r="E22" s="15">
        <v>3752</v>
      </c>
      <c r="F22" s="16" t="s">
        <v>74</v>
      </c>
      <c r="G22" s="12"/>
      <c r="H22" s="15">
        <v>8</v>
      </c>
      <c r="I22" s="15">
        <v>8</v>
      </c>
      <c r="J22" s="15">
        <v>8</v>
      </c>
      <c r="K22" s="15">
        <v>8</v>
      </c>
      <c r="L22" s="15">
        <v>8</v>
      </c>
      <c r="M22" s="15">
        <v>8</v>
      </c>
      <c r="N22" s="15">
        <v>8</v>
      </c>
      <c r="O22" s="15">
        <v>8</v>
      </c>
      <c r="P22" s="15"/>
      <c r="Q22" s="15">
        <v>8</v>
      </c>
      <c r="R22" s="15">
        <v>8</v>
      </c>
      <c r="S22" s="15">
        <v>8</v>
      </c>
      <c r="T22" s="15"/>
      <c r="U22" s="15"/>
      <c r="V22" s="15">
        <v>8</v>
      </c>
      <c r="W22" s="15"/>
      <c r="X22" s="15">
        <f t="shared" si="2"/>
        <v>12</v>
      </c>
      <c r="Y22" s="15">
        <f t="shared" si="3"/>
        <v>96</v>
      </c>
      <c r="Z22" s="15">
        <v>43</v>
      </c>
      <c r="AA22" s="14"/>
      <c r="AB22" s="14"/>
      <c r="AC22" s="14"/>
      <c r="AD22" s="14"/>
      <c r="AE22" s="14"/>
      <c r="AF22" s="14"/>
      <c r="AG22" s="14"/>
    </row>
    <row r="23" spans="1:33" x14ac:dyDescent="0.25">
      <c r="A23" s="13">
        <v>14</v>
      </c>
      <c r="B23" s="14" t="s">
        <v>33</v>
      </c>
      <c r="C23" s="14" t="s">
        <v>52</v>
      </c>
      <c r="D23" s="15" t="s">
        <v>67</v>
      </c>
      <c r="E23" s="15">
        <v>3182</v>
      </c>
      <c r="F23" s="16" t="s">
        <v>74</v>
      </c>
      <c r="G23" s="1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>
        <v>8</v>
      </c>
      <c r="S23" s="15">
        <v>8</v>
      </c>
      <c r="T23" s="15">
        <v>8</v>
      </c>
      <c r="U23" s="15">
        <v>8</v>
      </c>
      <c r="V23" s="15">
        <v>8</v>
      </c>
      <c r="W23" s="15"/>
      <c r="X23" s="15">
        <f t="shared" si="2"/>
        <v>5</v>
      </c>
      <c r="Y23" s="15">
        <f t="shared" si="3"/>
        <v>40</v>
      </c>
      <c r="Z23" s="15">
        <v>15</v>
      </c>
      <c r="AA23" s="14"/>
      <c r="AB23" s="14"/>
      <c r="AC23" s="14"/>
      <c r="AD23" s="14"/>
      <c r="AE23" s="14"/>
      <c r="AF23" s="14"/>
      <c r="AG23" s="14"/>
    </row>
    <row r="24" spans="1:33" x14ac:dyDescent="0.25">
      <c r="A24" s="13">
        <v>15</v>
      </c>
      <c r="B24" s="14" t="s">
        <v>34</v>
      </c>
      <c r="C24" s="14" t="s">
        <v>53</v>
      </c>
      <c r="D24" s="15" t="s">
        <v>63</v>
      </c>
      <c r="E24" s="15">
        <v>3736</v>
      </c>
      <c r="F24" s="16" t="s">
        <v>74</v>
      </c>
      <c r="G24" s="12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>
        <v>8</v>
      </c>
      <c r="S24" s="15">
        <v>8</v>
      </c>
      <c r="T24" s="15">
        <v>8</v>
      </c>
      <c r="U24" s="15">
        <v>8</v>
      </c>
      <c r="V24" s="15">
        <v>8</v>
      </c>
      <c r="W24" s="15"/>
      <c r="X24" s="15">
        <f t="shared" si="2"/>
        <v>5</v>
      </c>
      <c r="Y24" s="15">
        <f t="shared" si="3"/>
        <v>40</v>
      </c>
      <c r="Z24" s="15">
        <v>15</v>
      </c>
      <c r="AA24" s="14"/>
      <c r="AB24" s="14"/>
      <c r="AC24" s="14"/>
      <c r="AD24" s="14"/>
      <c r="AE24" s="14"/>
      <c r="AF24" s="14"/>
      <c r="AG24" s="14"/>
    </row>
    <row r="25" spans="1:33" x14ac:dyDescent="0.25">
      <c r="A25" s="13">
        <v>16</v>
      </c>
      <c r="B25" s="14" t="s">
        <v>35</v>
      </c>
      <c r="C25" s="14" t="s">
        <v>54</v>
      </c>
      <c r="D25" s="15" t="s">
        <v>58</v>
      </c>
      <c r="E25" s="15">
        <v>3986</v>
      </c>
      <c r="F25" s="16" t="s">
        <v>74</v>
      </c>
      <c r="G25" s="1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>
        <v>8</v>
      </c>
      <c r="S25" s="15">
        <v>8</v>
      </c>
      <c r="T25" s="15"/>
      <c r="U25" s="15"/>
      <c r="V25" s="15"/>
      <c r="W25" s="15"/>
      <c r="X25" s="15">
        <f t="shared" si="2"/>
        <v>2</v>
      </c>
      <c r="Y25" s="15">
        <f t="shared" si="3"/>
        <v>16</v>
      </c>
      <c r="Z25" s="15">
        <v>6</v>
      </c>
      <c r="AA25" s="14"/>
      <c r="AB25" s="14"/>
      <c r="AC25" s="14"/>
      <c r="AD25" s="14"/>
      <c r="AE25" s="14"/>
      <c r="AF25" s="14"/>
      <c r="AG25" s="14"/>
    </row>
    <row r="26" spans="1:33" x14ac:dyDescent="0.25">
      <c r="A26" s="13">
        <v>17</v>
      </c>
      <c r="B26" s="14" t="s">
        <v>36</v>
      </c>
      <c r="C26" s="14" t="s">
        <v>55</v>
      </c>
      <c r="D26" s="15" t="s">
        <v>65</v>
      </c>
      <c r="E26" s="15">
        <v>3746</v>
      </c>
      <c r="F26" s="16" t="s">
        <v>74</v>
      </c>
      <c r="G26" s="12"/>
      <c r="H26" s="15"/>
      <c r="I26" s="15"/>
      <c r="J26" s="15"/>
      <c r="K26" s="15"/>
      <c r="L26" s="15"/>
      <c r="M26" s="15"/>
      <c r="N26" s="15"/>
      <c r="O26" s="15">
        <v>8</v>
      </c>
      <c r="P26" s="15">
        <v>8</v>
      </c>
      <c r="Q26" s="15">
        <v>8</v>
      </c>
      <c r="R26" s="15"/>
      <c r="S26" s="15"/>
      <c r="T26" s="15">
        <v>8</v>
      </c>
      <c r="U26" s="15">
        <v>8</v>
      </c>
      <c r="V26" s="15">
        <v>8</v>
      </c>
      <c r="W26" s="15"/>
      <c r="X26" s="15">
        <f t="shared" si="2"/>
        <v>6</v>
      </c>
      <c r="Y26" s="15">
        <f t="shared" si="3"/>
        <v>48</v>
      </c>
      <c r="Z26" s="15">
        <v>18</v>
      </c>
      <c r="AA26" s="14"/>
      <c r="AB26" s="14"/>
      <c r="AC26" s="14"/>
      <c r="AD26" s="14"/>
      <c r="AE26" s="14"/>
      <c r="AF26" s="14"/>
      <c r="AG26" s="14"/>
    </row>
    <row r="27" spans="1:33" x14ac:dyDescent="0.25">
      <c r="A27" s="13">
        <v>18</v>
      </c>
      <c r="B27" s="14" t="s">
        <v>37</v>
      </c>
      <c r="C27" s="14" t="s">
        <v>56</v>
      </c>
      <c r="D27" s="15"/>
      <c r="E27" s="15"/>
      <c r="F27" s="16" t="s">
        <v>74</v>
      </c>
      <c r="G27" s="12"/>
      <c r="H27" s="15">
        <v>8</v>
      </c>
      <c r="I27" s="15">
        <v>8</v>
      </c>
      <c r="J27" s="15">
        <v>8</v>
      </c>
      <c r="K27" s="15">
        <v>8</v>
      </c>
      <c r="L27" s="15">
        <v>8</v>
      </c>
      <c r="M27" s="15">
        <v>8</v>
      </c>
      <c r="N27" s="15">
        <v>8</v>
      </c>
      <c r="O27" s="15">
        <v>8</v>
      </c>
      <c r="P27" s="15">
        <v>8</v>
      </c>
      <c r="Q27" s="15">
        <v>8</v>
      </c>
      <c r="R27" s="15"/>
      <c r="S27" s="15"/>
      <c r="T27" s="15"/>
      <c r="U27" s="15"/>
      <c r="V27" s="15"/>
      <c r="W27" s="15"/>
      <c r="X27" s="15">
        <f t="shared" si="2"/>
        <v>10</v>
      </c>
      <c r="Y27" s="15">
        <f t="shared" si="3"/>
        <v>80</v>
      </c>
      <c r="Z27" s="15">
        <v>30</v>
      </c>
      <c r="AA27" s="14"/>
      <c r="AB27" s="14"/>
      <c r="AC27" s="14"/>
      <c r="AD27" s="14"/>
      <c r="AE27" s="14"/>
      <c r="AF27" s="14"/>
      <c r="AG27" s="14"/>
    </row>
    <row r="28" spans="1:33" x14ac:dyDescent="0.25">
      <c r="A28" s="13">
        <v>19</v>
      </c>
      <c r="B28" s="14" t="s">
        <v>38</v>
      </c>
      <c r="C28" s="14" t="s">
        <v>57</v>
      </c>
      <c r="D28" s="15" t="s">
        <v>59</v>
      </c>
      <c r="E28" s="15">
        <v>3778</v>
      </c>
      <c r="F28" s="16" t="s">
        <v>74</v>
      </c>
      <c r="G28" s="12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>
        <v>8</v>
      </c>
      <c r="S28" s="15"/>
      <c r="T28" s="15"/>
      <c r="U28" s="15"/>
      <c r="V28" s="15"/>
      <c r="W28" s="15"/>
      <c r="X28" s="15">
        <f t="shared" si="2"/>
        <v>1</v>
      </c>
      <c r="Y28" s="15">
        <f t="shared" si="3"/>
        <v>8</v>
      </c>
      <c r="Z28" s="15">
        <v>3</v>
      </c>
      <c r="AA28" s="14"/>
      <c r="AB28" s="14"/>
      <c r="AC28" s="14"/>
      <c r="AD28" s="14"/>
      <c r="AE28" s="14"/>
      <c r="AF28" s="14"/>
      <c r="AG28" s="14"/>
    </row>
    <row r="29" spans="1:33" x14ac:dyDescent="0.25">
      <c r="A29" s="13">
        <v>20</v>
      </c>
      <c r="B29" s="14" t="s">
        <v>24</v>
      </c>
      <c r="C29" s="14" t="s">
        <v>43</v>
      </c>
      <c r="D29" s="15" t="s">
        <v>60</v>
      </c>
      <c r="E29" s="15">
        <v>3762</v>
      </c>
      <c r="F29" s="16" t="s">
        <v>74</v>
      </c>
      <c r="G29" s="12"/>
      <c r="H29" s="15"/>
      <c r="I29" s="15"/>
      <c r="J29" s="15"/>
      <c r="K29" s="15"/>
      <c r="L29" s="15"/>
      <c r="M29" s="15"/>
      <c r="N29" s="15"/>
      <c r="O29" s="15">
        <v>8</v>
      </c>
      <c r="P29" s="15">
        <v>8</v>
      </c>
      <c r="Q29" s="15">
        <v>8</v>
      </c>
      <c r="R29" s="15"/>
      <c r="S29" s="15"/>
      <c r="T29" s="15"/>
      <c r="U29" s="15"/>
      <c r="V29" s="15"/>
      <c r="W29" s="15"/>
      <c r="X29" s="15">
        <f t="shared" si="2"/>
        <v>3</v>
      </c>
      <c r="Y29" s="15">
        <f t="shared" si="3"/>
        <v>24</v>
      </c>
      <c r="Z29" s="15">
        <v>9</v>
      </c>
      <c r="AA29" s="14"/>
      <c r="AB29" s="14"/>
      <c r="AC29" s="14"/>
      <c r="AD29" s="14"/>
      <c r="AE29" s="14"/>
      <c r="AF29" s="14"/>
      <c r="AG29" s="14"/>
    </row>
    <row r="30" spans="1:33" x14ac:dyDescent="0.25">
      <c r="A30" s="13">
        <v>21</v>
      </c>
      <c r="B30" s="14"/>
      <c r="C30" s="14"/>
      <c r="D30" s="15"/>
      <c r="E30" s="15"/>
      <c r="F30" s="16"/>
      <c r="G30" s="12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>
        <f t="shared" si="2"/>
        <v>0</v>
      </c>
      <c r="Y30" s="15">
        <f t="shared" si="3"/>
        <v>0</v>
      </c>
      <c r="Z30" s="15"/>
      <c r="AA30" s="14"/>
      <c r="AB30" s="14"/>
      <c r="AC30" s="14"/>
      <c r="AD30" s="14"/>
      <c r="AE30" s="14"/>
      <c r="AF30" s="14"/>
      <c r="AG30" s="14"/>
    </row>
    <row r="31" spans="1:33" x14ac:dyDescent="0.25">
      <c r="A31" s="13">
        <v>22</v>
      </c>
      <c r="B31" s="14"/>
      <c r="C31" s="14"/>
      <c r="D31" s="15"/>
      <c r="E31" s="15"/>
      <c r="F31" s="16"/>
      <c r="G31" s="1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>
        <f t="shared" si="2"/>
        <v>0</v>
      </c>
      <c r="Y31" s="15">
        <f t="shared" si="3"/>
        <v>0</v>
      </c>
      <c r="Z31" s="15"/>
      <c r="AA31" s="14"/>
      <c r="AB31" s="14"/>
      <c r="AC31" s="14"/>
      <c r="AD31" s="14"/>
      <c r="AE31" s="14"/>
      <c r="AF31" s="14"/>
      <c r="AG31" s="14"/>
    </row>
    <row r="32" spans="1:33" x14ac:dyDescent="0.25">
      <c r="A32" s="13">
        <v>23</v>
      </c>
      <c r="B32" s="14"/>
      <c r="C32" s="14"/>
      <c r="D32" s="15"/>
      <c r="E32" s="15"/>
      <c r="F32" s="16"/>
      <c r="G32" s="12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>
        <f t="shared" si="2"/>
        <v>0</v>
      </c>
      <c r="Y32" s="15">
        <f t="shared" si="3"/>
        <v>0</v>
      </c>
      <c r="Z32" s="15"/>
      <c r="AA32" s="14"/>
      <c r="AB32" s="14"/>
      <c r="AC32" s="14"/>
      <c r="AD32" s="14"/>
      <c r="AE32" s="14"/>
      <c r="AF32" s="14"/>
      <c r="AG32" s="14"/>
    </row>
    <row r="33" spans="1:33" x14ac:dyDescent="0.25">
      <c r="A33" s="13">
        <v>24</v>
      </c>
      <c r="B33" s="14"/>
      <c r="C33" s="14"/>
      <c r="D33" s="15"/>
      <c r="E33" s="15"/>
      <c r="F33" s="16"/>
      <c r="G33" s="12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>
        <f t="shared" si="2"/>
        <v>0</v>
      </c>
      <c r="Y33" s="15">
        <f t="shared" si="3"/>
        <v>0</v>
      </c>
      <c r="Z33" s="15"/>
      <c r="AA33" s="14"/>
      <c r="AB33" s="14"/>
      <c r="AC33" s="14"/>
      <c r="AD33" s="14"/>
      <c r="AE33" s="14"/>
      <c r="AF33" s="14"/>
      <c r="AG33" s="14"/>
    </row>
    <row r="34" spans="1:33" x14ac:dyDescent="0.25">
      <c r="A34" s="13">
        <v>25</v>
      </c>
      <c r="B34" s="14"/>
      <c r="C34" s="14"/>
      <c r="D34" s="15"/>
      <c r="E34" s="15"/>
      <c r="F34" s="16"/>
      <c r="G34" s="12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>
        <f t="shared" si="2"/>
        <v>0</v>
      </c>
      <c r="Y34" s="15">
        <f t="shared" si="3"/>
        <v>0</v>
      </c>
      <c r="Z34" s="15"/>
      <c r="AA34" s="14"/>
      <c r="AB34" s="14"/>
      <c r="AC34" s="14"/>
      <c r="AD34" s="14"/>
      <c r="AE34" s="14"/>
      <c r="AF34" s="14"/>
      <c r="AG34" s="14"/>
    </row>
    <row r="35" spans="1:33" x14ac:dyDescent="0.25">
      <c r="A35" s="13">
        <v>26</v>
      </c>
      <c r="B35" s="14"/>
      <c r="C35" s="14"/>
      <c r="D35" s="15"/>
      <c r="E35" s="15"/>
      <c r="F35" s="16"/>
      <c r="G35" s="12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>
        <f t="shared" si="2"/>
        <v>0</v>
      </c>
      <c r="Y35" s="15">
        <f t="shared" si="3"/>
        <v>0</v>
      </c>
      <c r="Z35" s="15"/>
      <c r="AA35" s="14"/>
      <c r="AB35" s="14"/>
      <c r="AC35" s="14"/>
      <c r="AD35" s="14"/>
      <c r="AE35" s="14"/>
      <c r="AF35" s="14"/>
      <c r="AG35" s="14"/>
    </row>
    <row r="36" spans="1:33" x14ac:dyDescent="0.25">
      <c r="A36" s="13">
        <v>27</v>
      </c>
      <c r="B36" s="14"/>
      <c r="C36" s="14"/>
      <c r="D36" s="15"/>
      <c r="E36" s="15"/>
      <c r="F36" s="16"/>
      <c r="G36" s="12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>
        <f t="shared" si="2"/>
        <v>0</v>
      </c>
      <c r="Y36" s="15">
        <f t="shared" si="3"/>
        <v>0</v>
      </c>
      <c r="Z36" s="15"/>
      <c r="AA36" s="14"/>
      <c r="AB36" s="14"/>
      <c r="AC36" s="14"/>
      <c r="AD36" s="14"/>
      <c r="AE36" s="14"/>
      <c r="AF36" s="14"/>
      <c r="AG36" s="14"/>
    </row>
    <row r="37" spans="1:33" x14ac:dyDescent="0.25">
      <c r="A37" s="13">
        <v>28</v>
      </c>
      <c r="B37" s="14"/>
      <c r="C37" s="14"/>
      <c r="D37" s="15"/>
      <c r="E37" s="15"/>
      <c r="F37" s="16"/>
      <c r="G37" s="12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>
        <f t="shared" si="2"/>
        <v>0</v>
      </c>
      <c r="Y37" s="15">
        <f t="shared" si="3"/>
        <v>0</v>
      </c>
      <c r="Z37" s="15"/>
      <c r="AA37" s="14"/>
      <c r="AB37" s="14"/>
      <c r="AC37" s="14"/>
      <c r="AD37" s="14"/>
      <c r="AE37" s="14"/>
      <c r="AF37" s="14"/>
      <c r="AG37" s="14"/>
    </row>
    <row r="38" spans="1:33" x14ac:dyDescent="0.25">
      <c r="A38" s="13">
        <v>29</v>
      </c>
      <c r="B38" s="14"/>
      <c r="C38" s="14"/>
      <c r="D38" s="15"/>
      <c r="E38" s="15"/>
      <c r="F38" s="16"/>
      <c r="G38" s="12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>
        <f t="shared" si="2"/>
        <v>0</v>
      </c>
      <c r="Y38" s="15">
        <f t="shared" si="3"/>
        <v>0</v>
      </c>
      <c r="Z38" s="15"/>
      <c r="AA38" s="14"/>
      <c r="AB38" s="14"/>
      <c r="AC38" s="14"/>
      <c r="AD38" s="14"/>
      <c r="AE38" s="14"/>
      <c r="AF38" s="14"/>
      <c r="AG38" s="14"/>
    </row>
    <row r="39" spans="1:33" x14ac:dyDescent="0.25">
      <c r="A39" s="13">
        <v>30</v>
      </c>
      <c r="B39" s="14"/>
      <c r="C39" s="14"/>
      <c r="D39" s="15"/>
      <c r="E39" s="15"/>
      <c r="F39" s="16"/>
      <c r="G39" s="12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>
        <f t="shared" si="2"/>
        <v>0</v>
      </c>
      <c r="Y39" s="15">
        <f t="shared" si="3"/>
        <v>0</v>
      </c>
      <c r="Z39" s="15"/>
      <c r="AA39" s="14"/>
      <c r="AB39" s="14"/>
      <c r="AC39" s="14"/>
      <c r="AD39" s="14"/>
      <c r="AE39" s="14"/>
      <c r="AF39" s="14"/>
      <c r="AG39" s="14"/>
    </row>
    <row r="40" spans="1:33" x14ac:dyDescent="0.25">
      <c r="A40" s="13">
        <v>31</v>
      </c>
      <c r="B40" s="14"/>
      <c r="C40" s="14"/>
      <c r="D40" s="15"/>
      <c r="E40" s="15"/>
      <c r="F40" s="16"/>
      <c r="G40" s="12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>
        <f t="shared" si="2"/>
        <v>0</v>
      </c>
      <c r="Y40" s="15">
        <f t="shared" si="3"/>
        <v>0</v>
      </c>
      <c r="Z40" s="15"/>
      <c r="AA40" s="14"/>
      <c r="AB40" s="14"/>
      <c r="AC40" s="14"/>
      <c r="AD40" s="14"/>
      <c r="AE40" s="14"/>
      <c r="AF40" s="14"/>
      <c r="AG40" s="14"/>
    </row>
    <row r="41" spans="1:33" x14ac:dyDescent="0.25">
      <c r="A41" s="38"/>
      <c r="B41" s="38"/>
      <c r="C41" s="38"/>
      <c r="D41" s="38"/>
      <c r="E41" s="38"/>
      <c r="F41" s="39"/>
      <c r="G41" s="40"/>
      <c r="H41" s="41">
        <f>COUNT(H10:H39)</f>
        <v>11</v>
      </c>
      <c r="I41" s="41">
        <f>COUNT(I10:I39)</f>
        <v>11</v>
      </c>
      <c r="J41" s="41">
        <f>COUNT(J10:J39)</f>
        <v>11</v>
      </c>
      <c r="K41" s="41">
        <f>COUNT(K10:K39)</f>
        <v>11</v>
      </c>
      <c r="L41" s="41">
        <f>COUNT(L10:L39)</f>
        <v>11</v>
      </c>
      <c r="M41" s="41">
        <f>COUNT(M10:M39)</f>
        <v>11</v>
      </c>
      <c r="N41" s="41">
        <f>COUNT(N10:N39)</f>
        <v>11</v>
      </c>
      <c r="O41" s="41">
        <f>COUNT(O10:O39)</f>
        <v>11</v>
      </c>
      <c r="P41" s="41">
        <f>COUNT(P10:P39)</f>
        <v>11</v>
      </c>
      <c r="Q41" s="41">
        <f>COUNT(Q10:Q39)</f>
        <v>11</v>
      </c>
      <c r="R41" s="41">
        <f>COUNT(R10:R39)</f>
        <v>11</v>
      </c>
      <c r="S41" s="41">
        <f>COUNT(S10:S39)</f>
        <v>11</v>
      </c>
      <c r="T41" s="41">
        <f>COUNT(T10:T39)</f>
        <v>11</v>
      </c>
      <c r="U41" s="41">
        <f>COUNT(U10:U39)</f>
        <v>11</v>
      </c>
      <c r="V41" s="41">
        <f>COUNT(V10:V39)</f>
        <v>11</v>
      </c>
      <c r="W41" s="41">
        <f>COUNT(W10:W39)</f>
        <v>0</v>
      </c>
      <c r="X41" s="41">
        <f>SUM(X10:X40)</f>
        <v>165</v>
      </c>
      <c r="Y41" s="41">
        <f t="shared" si="3"/>
        <v>1320</v>
      </c>
      <c r="Z41" s="41">
        <f>SUM(Z10:Z40)</f>
        <v>511</v>
      </c>
      <c r="AA41" s="41">
        <f>SUM(AA10:AA40)</f>
        <v>0</v>
      </c>
      <c r="AB41" s="41">
        <f>SUM(AB10:AB40)</f>
        <v>0</v>
      </c>
      <c r="AC41" s="41">
        <f>SUM(AC10:AC40)</f>
        <v>0</v>
      </c>
      <c r="AD41" s="41">
        <f>SUM(AD10:AD40)</f>
        <v>0</v>
      </c>
      <c r="AE41" s="41">
        <f>SUM(AE10:AE40)</f>
        <v>0</v>
      </c>
      <c r="AF41" s="41">
        <f>SUM(AF10:AF40)</f>
        <v>0</v>
      </c>
      <c r="AG41" s="41"/>
    </row>
    <row r="43" spans="1:33" ht="15" customHeight="1" x14ac:dyDescent="0.25">
      <c r="C43" s="17" t="s">
        <v>78</v>
      </c>
      <c r="G43" s="18" t="s">
        <v>80</v>
      </c>
      <c r="H43" s="18"/>
      <c r="I43" s="19"/>
      <c r="N43" s="2"/>
      <c r="O43" s="20" t="s">
        <v>82</v>
      </c>
      <c r="P43" s="20"/>
      <c r="Q43" s="20"/>
      <c r="Y43" s="49" t="s">
        <v>91</v>
      </c>
      <c r="Z43" s="42" t="s">
        <v>92</v>
      </c>
      <c r="AA43" s="50"/>
      <c r="AB43" s="50"/>
      <c r="AC43" s="48"/>
      <c r="AD43" s="17" t="s">
        <v>84</v>
      </c>
      <c r="AE43" s="17" t="s">
        <v>85</v>
      </c>
      <c r="AF43" s="17" t="s">
        <v>90</v>
      </c>
    </row>
    <row r="44" spans="1:33" x14ac:dyDescent="0.25">
      <c r="Z44" s="50"/>
      <c r="AA44" s="50"/>
      <c r="AB44" s="50"/>
      <c r="AC44" s="48"/>
      <c r="AD44" s="48"/>
      <c r="AE44" s="17" t="s">
        <v>86</v>
      </c>
    </row>
    <row r="45" spans="1:33" x14ac:dyDescent="0.25">
      <c r="Z45" s="50"/>
      <c r="AA45" s="50"/>
      <c r="AB45" s="50"/>
      <c r="AC45" s="48"/>
      <c r="AD45" s="48"/>
      <c r="AE45" s="17" t="s">
        <v>87</v>
      </c>
    </row>
    <row r="46" spans="1:33" x14ac:dyDescent="0.25">
      <c r="C46" s="21"/>
      <c r="D46" s="21"/>
      <c r="E46" s="21"/>
      <c r="G46" s="21"/>
      <c r="H46" s="21"/>
      <c r="I46" s="21"/>
      <c r="J46" s="21"/>
      <c r="K46" s="21"/>
      <c r="L46" s="21"/>
      <c r="O46" s="22"/>
      <c r="P46" s="22"/>
      <c r="Q46" s="22"/>
      <c r="R46" s="22"/>
      <c r="S46" s="22"/>
      <c r="T46" s="22"/>
      <c r="U46" s="23"/>
      <c r="Z46" s="50"/>
      <c r="AA46" s="50"/>
      <c r="AB46" s="50"/>
      <c r="AC46" s="48"/>
      <c r="AD46" s="48"/>
      <c r="AE46" s="17" t="s">
        <v>88</v>
      </c>
    </row>
    <row r="47" spans="1:33" x14ac:dyDescent="0.25">
      <c r="C47" s="24" t="s">
        <v>79</v>
      </c>
      <c r="D47" s="24"/>
      <c r="E47" s="24"/>
      <c r="G47" s="25" t="s">
        <v>81</v>
      </c>
      <c r="H47" s="25"/>
      <c r="I47" s="25"/>
      <c r="J47" s="25"/>
      <c r="K47" s="25"/>
      <c r="L47" s="25"/>
      <c r="O47" s="25" t="s">
        <v>83</v>
      </c>
      <c r="P47" s="25"/>
      <c r="Q47" s="25"/>
      <c r="R47" s="25"/>
      <c r="S47" s="25"/>
      <c r="T47" s="25"/>
      <c r="U47" s="25"/>
      <c r="Z47" s="50"/>
      <c r="AA47" s="50"/>
      <c r="AB47" s="50"/>
      <c r="AC47" s="48"/>
      <c r="AD47" s="48"/>
      <c r="AE47" s="17" t="s">
        <v>89</v>
      </c>
    </row>
  </sheetData>
  <mergeCells count="60">
    <mergeCell ref="B8:D8"/>
    <mergeCell ref="T3:Y3"/>
    <mergeCell ref="T4:Y4"/>
    <mergeCell ref="O47:U47"/>
    <mergeCell ref="AD8:AD9"/>
    <mergeCell ref="AC8:AC9"/>
    <mergeCell ref="AG8:AG9"/>
    <mergeCell ref="Z43:AB47"/>
    <mergeCell ref="C46:E46"/>
    <mergeCell ref="C47:E47"/>
    <mergeCell ref="G46:L46"/>
    <mergeCell ref="G47:L47"/>
    <mergeCell ref="G43:H43"/>
    <mergeCell ref="O43:Q43"/>
    <mergeCell ref="F41:G41"/>
    <mergeCell ref="C7:E7"/>
    <mergeCell ref="O2:V2"/>
    <mergeCell ref="R3:S3"/>
    <mergeCell ref="R4:S4"/>
    <mergeCell ref="N3:Q4"/>
    <mergeCell ref="F35:G35"/>
    <mergeCell ref="F36:G36"/>
    <mergeCell ref="F37:G37"/>
    <mergeCell ref="F38:G38"/>
    <mergeCell ref="F39:G39"/>
    <mergeCell ref="F40:G40"/>
    <mergeCell ref="AE8:AE9"/>
    <mergeCell ref="AF8:AF9"/>
    <mergeCell ref="F32:G32"/>
    <mergeCell ref="F33:G33"/>
    <mergeCell ref="F34:G34"/>
    <mergeCell ref="F31:G31"/>
    <mergeCell ref="Z8:Z9"/>
    <mergeCell ref="AA8:AA9"/>
    <mergeCell ref="AB8:AB9"/>
    <mergeCell ref="F25:G25"/>
    <mergeCell ref="F26:G26"/>
    <mergeCell ref="F27:G27"/>
    <mergeCell ref="F28:G28"/>
    <mergeCell ref="F29:G29"/>
    <mergeCell ref="F30:G30"/>
    <mergeCell ref="F19:G19"/>
    <mergeCell ref="F20:G20"/>
    <mergeCell ref="F21:G21"/>
    <mergeCell ref="F22:G22"/>
    <mergeCell ref="F23:G23"/>
    <mergeCell ref="F24:G24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X8:X9"/>
    <mergeCell ref="Y8:Y9"/>
    <mergeCell ref="E8:E9"/>
    <mergeCell ref="F8:G9"/>
  </mergeCells>
  <dataValidations count="1">
    <dataValidation type="list" allowBlank="1" showInputMessage="1" showErrorMessage="1" sqref="H10" xr:uid="{3BB1A3FF-1ABE-4F04-B0A4-EFE53325619B}">
      <formula1>"8, 9, 10, 11, 12"</formula1>
    </dataValidation>
  </dataValidations>
  <pageMargins left="0.25" right="0.25" top="0.75" bottom="0.75" header="0.3" footer="0.3"/>
  <pageSetup paperSize="9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2025-09-24T02:18:46Z</cp:lastPrinted>
  <dcterms:created xsi:type="dcterms:W3CDTF">2025-09-24T00:06:56Z</dcterms:created>
  <dcterms:modified xsi:type="dcterms:W3CDTF">2025-09-24T06:43:50Z</dcterms:modified>
</cp:coreProperties>
</file>