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UMMARY FORM" sheetId="1" r:id="rId1"/>
    <sheet name="Sheet3" sheetId="3" state="hidden" r:id="rId2"/>
  </sheets>
  <definedNames>
    <definedName name="_xlnm.Print_Area" localSheetId="0">'SUMMARY FORM'!$A$1:$AE$60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<sst xmlns="http://schemas.openxmlformats.org/spreadsheetml/2006/main" count="241" uniqueCount="116">
  <si>
    <t>PROFESSIONAL MAINTENANCE GROUP, INC.</t>
  </si>
  <si>
    <t xml:space="preserve">ATTENDANCE SUMMARY FORM </t>
  </si>
  <si>
    <t>OPS-FRM009-01-10012025</t>
  </si>
  <si>
    <t>PROJECT</t>
  </si>
  <si>
    <t>APMC PARKING</t>
  </si>
  <si>
    <t>FROM:</t>
  </si>
  <si>
    <t xml:space="preserve">TO: </t>
  </si>
  <si>
    <t>NO.</t>
  </si>
  <si>
    <t>EMPLOYEE NAME</t>
  </si>
  <si>
    <t>PM NO.</t>
  </si>
  <si>
    <t>POSITION</t>
  </si>
  <si>
    <t>SHIFT</t>
  </si>
  <si>
    <t>TIME</t>
  </si>
  <si>
    <t>TOTAL</t>
  </si>
  <si>
    <t>Late/Undertime</t>
  </si>
  <si>
    <t>OT</t>
  </si>
  <si>
    <t>Regular</t>
  </si>
  <si>
    <t>Unwork</t>
  </si>
  <si>
    <t>Special</t>
  </si>
  <si>
    <t>Night Diff</t>
  </si>
  <si>
    <t>Reg. Days</t>
  </si>
  <si>
    <t>hours(s)</t>
  </si>
  <si>
    <t>(minute)</t>
  </si>
  <si>
    <t>hour</t>
  </si>
  <si>
    <t>Holiday</t>
  </si>
  <si>
    <t>Reg Holiday</t>
  </si>
  <si>
    <t>LITANA, SALVADOR O. JR</t>
  </si>
  <si>
    <t>PM00536</t>
  </si>
  <si>
    <t>SUPERVISOR</t>
  </si>
  <si>
    <t>AM SHIFT</t>
  </si>
  <si>
    <t>6AM-7PM</t>
  </si>
  <si>
    <t>D</t>
  </si>
  <si>
    <t>DUQUE, RYAN B.</t>
  </si>
  <si>
    <t>PM02174</t>
  </si>
  <si>
    <t>TEAMLEADER</t>
  </si>
  <si>
    <t>DUEÑAS, APOLONIO M.</t>
  </si>
  <si>
    <t>PM00470</t>
  </si>
  <si>
    <t>ROLLAN, JUANCHO</t>
  </si>
  <si>
    <t>PM00827</t>
  </si>
  <si>
    <t>MESSENGER</t>
  </si>
  <si>
    <t>MALANA, JEFFREY D.</t>
  </si>
  <si>
    <t>PM00665</t>
  </si>
  <si>
    <t>DRIVER</t>
  </si>
  <si>
    <t>ABAD, JONMARK C.</t>
  </si>
  <si>
    <t>PM03508</t>
  </si>
  <si>
    <t>HOUSEKEEPING</t>
  </si>
  <si>
    <t>ASTILLAR, JOELYN</t>
  </si>
  <si>
    <t>PM03963</t>
  </si>
  <si>
    <t>BRECIA, JONATHAN A..</t>
  </si>
  <si>
    <t>PM01555</t>
  </si>
  <si>
    <t>CAÑAMAQUE, CRISTOPHER L.</t>
  </si>
  <si>
    <t>PM02802</t>
  </si>
  <si>
    <t>CATIBAG, WENEFREDO S. JR</t>
  </si>
  <si>
    <t>PM03887</t>
  </si>
  <si>
    <t>DELLOSA, AVELINO M.</t>
  </si>
  <si>
    <t>PM00605</t>
  </si>
  <si>
    <t>GROUNDSKEEPING</t>
  </si>
  <si>
    <t>LLANERA, JERRYMIE</t>
  </si>
  <si>
    <t>PM02880</t>
  </si>
  <si>
    <t>NOÑES, GAUDENCIO O. JR</t>
  </si>
  <si>
    <t>PM02066</t>
  </si>
  <si>
    <t>ORTEGA, JUN E.</t>
  </si>
  <si>
    <t>PM03580</t>
  </si>
  <si>
    <t>PM SHIFT</t>
  </si>
  <si>
    <t>5PM-6AM</t>
  </si>
  <si>
    <t>PALUSTRE, PEDRO R.</t>
  </si>
  <si>
    <t>PM00471</t>
  </si>
  <si>
    <t>PEJOTO, RAMEL H.</t>
  </si>
  <si>
    <t>PM01485</t>
  </si>
  <si>
    <t>PROBITSO, MARY JOY T.</t>
  </si>
  <si>
    <t>PM03457</t>
  </si>
  <si>
    <t>REYES, JENNA C.</t>
  </si>
  <si>
    <t>PM01501</t>
  </si>
  <si>
    <t>ROLLON, ANGELIE P.</t>
  </si>
  <si>
    <t>PM01242</t>
  </si>
  <si>
    <t>SALMIN, ARMIL M.</t>
  </si>
  <si>
    <t>PM00487</t>
  </si>
  <si>
    <t>SANCHEZ, JEROME</t>
  </si>
  <si>
    <t>PM03863</t>
  </si>
  <si>
    <t>SAPIERA, BERTING P.</t>
  </si>
  <si>
    <t>PM04501</t>
  </si>
  <si>
    <t>SAQUING , GABIAN S.</t>
  </si>
  <si>
    <t>PM01508</t>
  </si>
  <si>
    <t>UGAY, GESEL G.</t>
  </si>
  <si>
    <t>PM00709</t>
  </si>
  <si>
    <t>VALENZUELA, GIO F.</t>
  </si>
  <si>
    <t>PM03915</t>
  </si>
  <si>
    <t>YERE, RAFFY M.</t>
  </si>
  <si>
    <t>PM00868</t>
  </si>
  <si>
    <t>GRAND TOTAL</t>
  </si>
  <si>
    <t xml:space="preserve">PREPARED BY: </t>
  </si>
  <si>
    <t>CHECKED BY:</t>
  </si>
  <si>
    <t>NOTED BY:</t>
  </si>
  <si>
    <t>LEGENDS:</t>
  </si>
  <si>
    <t>A = ABSENT</t>
  </si>
  <si>
    <t>D = DAY-OFF</t>
  </si>
  <si>
    <t>L = LEAVE</t>
  </si>
  <si>
    <t>OPERATIONS OFFICER</t>
  </si>
  <si>
    <t>CLIENT REPRESENTATIVE</t>
  </si>
  <si>
    <t>LR = LEAVE W/ RELIEVER</t>
  </si>
  <si>
    <t>RS = RESIGNED</t>
  </si>
  <si>
    <t>T = TRANSFERRED</t>
  </si>
  <si>
    <t>R = RELIEVED</t>
  </si>
  <si>
    <t>Note:</t>
  </si>
  <si>
    <t>S = SUSPENDED W/O RELIEVER</t>
  </si>
  <si>
    <t>SR = SUSPENDED W/ RELIEVER</t>
  </si>
  <si>
    <t xml:space="preserve">LH = LEGAL HOLIDAY </t>
  </si>
  <si>
    <t>SH = SPECIAL HOLIDAY</t>
  </si>
  <si>
    <t>A</t>
  </si>
  <si>
    <t>L</t>
  </si>
  <si>
    <t>LR</t>
  </si>
  <si>
    <t>RS</t>
  </si>
  <si>
    <t>T</t>
  </si>
  <si>
    <t>R</t>
  </si>
  <si>
    <t>S</t>
  </si>
  <si>
    <t>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</si>
</sst>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mm\ dd\,\ yyyy"/>
  </numFmts>
  <fonts count="28">
    <font>
      <sz val="11"/>
      <color theme="1"/>
      <name val="Aptos Narrow"/>
      <charset val="134"/>
      <scheme val="minor"/>
    </font>
    <font>
      <sz val="12"/>
      <color indexed="8"/>
      <name val="Leelawadee"/>
      <charset val="134"/>
    </font>
    <font>
      <b/>
      <sz val="12"/>
      <color indexed="8"/>
      <name val="Leelawadee"/>
      <charset val="134"/>
    </font>
    <font>
      <b/>
      <sz val="11"/>
      <color theme="1"/>
      <name val="Aptos Narrow"/>
      <charset val="134"/>
      <scheme val="minor"/>
    </font>
    <font>
      <b/>
      <sz val="11"/>
      <color theme="1"/>
      <name val="Leelawadee"/>
      <charset val="134"/>
    </font>
    <font>
      <b/>
      <sz val="8"/>
      <color theme="1" tint="0.249977111117893"/>
      <name val="Aptos Narrow"/>
      <charset val="134"/>
      <scheme val="minor"/>
    </font>
    <font>
      <sz val="11"/>
      <color theme="1"/>
      <name val="Leelawadee"/>
      <charset val="134"/>
    </font>
    <font>
      <b/>
      <sz val="12"/>
      <name val="Leelawadee"/>
      <charset val="134"/>
    </font>
    <font>
      <sz val="12"/>
      <name val="Leelawadee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3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5" fillId="0" borderId="33" applyNumberFormat="0" applyFill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35" applyNumberFormat="0" applyAlignment="0" applyProtection="0">
      <alignment vertical="center"/>
    </xf>
    <xf numFmtId="0" fontId="18" fillId="6" borderId="36" applyNumberFormat="0" applyAlignment="0" applyProtection="0">
      <alignment vertical="center"/>
    </xf>
    <xf numFmtId="0" fontId="19" fillId="6" borderId="35" applyNumberFormat="0" applyAlignment="0" applyProtection="0">
      <alignment vertical="center"/>
    </xf>
    <xf numFmtId="0" fontId="20" fillId="7" borderId="37" applyNumberFormat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2" fillId="0" borderId="3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90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vertical="center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 applyProtection="1">
      <alignment horizontal="center" vertical="center" wrapText="1"/>
      <protection locked="0"/>
    </xf>
    <xf numFmtId="0" fontId="1" fillId="2" borderId="9" xfId="0" applyFont="1" applyFill="1" applyBorder="1" applyAlignment="1" applyProtection="1">
      <alignment vertical="center"/>
      <protection locked="0"/>
    </xf>
    <xf numFmtId="0" fontId="1" fillId="2" borderId="10" xfId="0" applyFont="1" applyFill="1" applyBorder="1" applyAlignment="1" applyProtection="1">
      <alignment horizontal="center" wrapText="1"/>
      <protection locked="0"/>
    </xf>
    <xf numFmtId="0" fontId="1" fillId="2" borderId="11" xfId="0" applyFont="1" applyFill="1" applyBorder="1" applyAlignment="1" applyProtection="1">
      <alignment horizontal="center" wrapText="1"/>
      <protection locked="0"/>
    </xf>
    <xf numFmtId="0" fontId="3" fillId="2" borderId="0" xfId="0" applyFont="1" applyFill="1" applyProtection="1">
      <protection locked="0"/>
    </xf>
    <xf numFmtId="0" fontId="0" fillId="2" borderId="3" xfId="0" applyFill="1" applyBorder="1" applyProtection="1">
      <protection locked="0"/>
    </xf>
    <xf numFmtId="0" fontId="4" fillId="2" borderId="0" xfId="0" applyFont="1" applyFill="1" applyAlignment="1" applyProtection="1">
      <alignment horizontal="right" wrapText="1"/>
      <protection locked="0"/>
    </xf>
    <xf numFmtId="0" fontId="4" fillId="2" borderId="12" xfId="0" applyFont="1" applyFill="1" applyBorder="1" applyAlignment="1" applyProtection="1">
      <alignment horizontal="center" vertical="center" wrapText="1"/>
      <protection locked="0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vertical="center" wrapText="1"/>
      <protection locked="0"/>
    </xf>
    <xf numFmtId="0" fontId="4" fillId="2" borderId="0" xfId="0" applyFont="1" applyFill="1" applyAlignment="1" applyProtection="1">
      <alignment horizontal="right"/>
      <protection locked="0"/>
    </xf>
    <xf numFmtId="178" fontId="4" fillId="2" borderId="15" xfId="0" applyNumberFormat="1" applyFont="1" applyFill="1" applyBorder="1" applyAlignment="1" applyProtection="1">
      <alignment horizontal="center" vertical="top" wrapText="1"/>
      <protection locked="0"/>
    </xf>
    <xf numFmtId="178" fontId="4" fillId="2" borderId="16" xfId="0" applyNumberFormat="1" applyFont="1" applyFill="1" applyBorder="1" applyAlignment="1" applyProtection="1">
      <alignment horizontal="center" vertical="top" wrapText="1"/>
      <protection locked="0"/>
    </xf>
    <xf numFmtId="178" fontId="4" fillId="2" borderId="0" xfId="0" applyNumberFormat="1" applyFont="1" applyFill="1" applyAlignment="1" applyProtection="1">
      <alignment horizontal="center" vertical="top" wrapText="1"/>
      <protection locked="0"/>
    </xf>
    <xf numFmtId="178" fontId="4" fillId="2" borderId="0" xfId="0" applyNumberFormat="1" applyFont="1" applyFill="1" applyProtection="1">
      <protection locked="0"/>
    </xf>
    <xf numFmtId="0" fontId="4" fillId="2" borderId="0" xfId="0" applyFont="1" applyFill="1" applyAlignment="1" applyProtection="1">
      <alignment horizontal="left" wrapText="1"/>
      <protection locked="0"/>
    </xf>
    <xf numFmtId="178" fontId="4" fillId="2" borderId="17" xfId="0" applyNumberFormat="1" applyFont="1" applyFill="1" applyBorder="1" applyAlignment="1" applyProtection="1">
      <alignment horizontal="center"/>
      <protection locked="0"/>
    </xf>
    <xf numFmtId="178" fontId="4" fillId="2" borderId="16" xfId="0" applyNumberFormat="1" applyFont="1" applyFill="1" applyBorder="1" applyAlignment="1" applyProtection="1">
      <alignment horizontal="center"/>
      <protection locked="0"/>
    </xf>
    <xf numFmtId="178" fontId="4" fillId="2" borderId="0" xfId="0" applyNumberFormat="1" applyFont="1" applyFill="1" applyAlignment="1" applyProtection="1">
      <alignment horizontal="center"/>
      <protection locked="0"/>
    </xf>
    <xf numFmtId="0" fontId="4" fillId="0" borderId="1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2" borderId="21" xfId="0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6" fillId="2" borderId="17" xfId="0" applyFont="1" applyFill="1" applyBorder="1" applyAlignment="1" applyProtection="1">
      <alignment horizontal="left" vertical="center" wrapText="1"/>
      <protection locked="0"/>
    </xf>
    <xf numFmtId="0" fontId="6" fillId="2" borderId="12" xfId="0" applyFont="1" applyFill="1" applyBorder="1" applyAlignment="1" applyProtection="1">
      <alignment horizontal="left" vertical="center" wrapText="1"/>
      <protection locked="0"/>
    </xf>
    <xf numFmtId="0" fontId="6" fillId="2" borderId="21" xfId="0" applyFont="1" applyFill="1" applyBorder="1" applyAlignment="1" applyProtection="1">
      <alignment horizontal="center" vertical="center"/>
      <protection locked="0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0" fontId="4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Protection="1"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Protection="1">
      <protection locked="0"/>
    </xf>
    <xf numFmtId="0" fontId="7" fillId="2" borderId="0" xfId="0" applyFont="1" applyFill="1" applyAlignment="1" applyProtection="1">
      <alignment horizontal="left"/>
      <protection locked="0"/>
    </xf>
    <xf numFmtId="0" fontId="8" fillId="2" borderId="0" xfId="0" applyFont="1" applyFill="1" applyProtection="1">
      <protection locked="0"/>
    </xf>
    <xf numFmtId="0" fontId="8" fillId="2" borderId="0" xfId="0" applyFont="1" applyFill="1" applyAlignment="1" applyProtection="1">
      <alignment horizontal="left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4" fillId="3" borderId="23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vertical="center"/>
      <protection locked="0"/>
    </xf>
    <xf numFmtId="0" fontId="4" fillId="3" borderId="2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5" fillId="2" borderId="25" xfId="0" applyFont="1" applyFill="1" applyBorder="1" applyAlignment="1" applyProtection="1">
      <alignment horizontal="center" vertical="center"/>
      <protection locked="0"/>
    </xf>
    <xf numFmtId="0" fontId="4" fillId="0" borderId="27" xfId="0" applyFont="1" applyBorder="1" applyAlignment="1">
      <alignment horizontal="center" vertical="center"/>
    </xf>
    <xf numFmtId="0" fontId="6" fillId="2" borderId="25" xfId="0" applyFont="1" applyFill="1" applyBorder="1" applyAlignment="1" applyProtection="1">
      <alignment horizontal="center" vertical="center"/>
      <protection locked="0"/>
    </xf>
    <xf numFmtId="0" fontId="6" fillId="2" borderId="14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vertical="center"/>
      <protection locked="0"/>
    </xf>
    <xf numFmtId="0" fontId="2" fillId="2" borderId="28" xfId="0" applyFont="1" applyFill="1" applyBorder="1" applyAlignment="1" applyProtection="1">
      <alignment horizontal="center" vertical="center" wrapText="1"/>
      <protection locked="0"/>
    </xf>
    <xf numFmtId="0" fontId="2" fillId="2" borderId="29" xfId="0" applyFont="1" applyFill="1" applyBorder="1" applyAlignment="1" applyProtection="1">
      <alignment horizontal="center" vertical="center" wrapText="1"/>
      <protection locked="0"/>
    </xf>
    <xf numFmtId="0" fontId="2" fillId="2" borderId="30" xfId="0" applyFont="1" applyFill="1" applyBorder="1" applyAlignment="1" applyProtection="1">
      <alignment horizontal="center" vertical="center" wrapText="1"/>
      <protection locked="0"/>
    </xf>
    <xf numFmtId="0" fontId="1" fillId="2" borderId="31" xfId="0" applyFont="1" applyFill="1" applyBorder="1" applyAlignment="1" applyProtection="1">
      <alignment horizontal="center" wrapText="1"/>
      <protection locked="0"/>
    </xf>
    <xf numFmtId="0" fontId="4" fillId="0" borderId="17" xfId="0" applyFont="1" applyBorder="1" applyAlignment="1">
      <alignment horizontal="center" vertical="center"/>
    </xf>
    <xf numFmtId="0" fontId="6" fillId="2" borderId="17" xfId="0" applyFont="1" applyFill="1" applyBorder="1" applyProtection="1">
      <protection locked="0"/>
    </xf>
    <xf numFmtId="0" fontId="4" fillId="2" borderId="17" xfId="0" applyFont="1" applyFill="1" applyBorder="1" applyAlignment="1">
      <alignment horizontal="center" vertical="center"/>
    </xf>
    <xf numFmtId="0" fontId="7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vertical="center" wrapText="1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fill>
        <patternFill patternType="solid">
          <bgColor rgb="FFFFFF00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5" tint="-0.249946592608417"/>
        </patternFill>
      </fill>
    </dxf>
    <dxf>
      <fill>
        <patternFill patternType="solid">
          <bgColor rgb="FFDEE165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theme="4" tint="0.799981688894314"/>
        </patternFill>
      </fill>
    </dxf>
    <dxf>
      <fill>
        <patternFill patternType="solid">
          <bgColor theme="8" tint="0.59996337778862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9"/>
        </patternFill>
      </fill>
    </dxf>
    <dxf>
      <fill>
        <patternFill patternType="solid">
          <bgColor rgb="FFFF6161"/>
        </patternFill>
      </fill>
    </dxf>
    <dxf>
      <fill>
        <patternFill patternType="solid">
          <bgColor theme="3" tint="0.749961851863155"/>
        </patternFill>
      </fill>
    </dxf>
    <dxf>
      <font>
        <b val="1"/>
        <i val="0"/>
        <color rgb="FFFF0000"/>
      </font>
    </dxf>
    <dxf>
      <fill>
        <patternFill patternType="solid">
          <bgColor theme="8" tint="0.599963377788629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>
    <mruColors>
      <color rgb="00FF6161"/>
      <color rgb="00DEE165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4" name="Picture 4" descr="C:\Users\user2\Desktop\REVISED ISO DOCS\PMGI Final layout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5595" y="191770"/>
          <a:ext cx="1498600" cy="97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>
      <xdr:nvSpPr>
        <xdr:cNvPr id="2" name="TextBox 1"/>
        <xdr:cNvSpPr txBox="1"/>
      </xdr:nvSpPr>
      <xdr:spPr>
        <a:xfrm>
          <a:off x="19316700" y="952500"/>
          <a:ext cx="822960" cy="2120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  <a:endParaRPr lang="en-GB" sz="11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>
      <xdr:nvSpPr>
        <xdr:cNvPr id="3" name="TextBox 2"/>
        <xdr:cNvSpPr txBox="1"/>
      </xdr:nvSpPr>
      <xdr:spPr>
        <a:xfrm>
          <a:off x="18401665" y="953135"/>
          <a:ext cx="822325" cy="21145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  <a:endParaRPr lang="en-GB" sz="11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E62"/>
  <sheetViews>
    <sheetView tabSelected="1" view="pageBreakPreview" zoomScale="70" zoomScaleNormal="70" topLeftCell="A23" workbookViewId="0">
      <selection activeCell="K30" sqref="K30"/>
    </sheetView>
  </sheetViews>
  <sheetFormatPr defaultColWidth="9" defaultRowHeight="14.25"/>
  <cols>
    <col min="1" max="1" width="4.14166666666667" style="2" customWidth="1"/>
    <col min="2" max="2" width="6.56666666666667" style="2" customWidth="1"/>
    <col min="3" max="3" width="25.5666666666667" style="2" customWidth="1"/>
    <col min="4" max="4" width="12" style="2" customWidth="1"/>
    <col min="5" max="5" width="17.7083333333333" style="2" customWidth="1"/>
    <col min="6" max="6" width="14.1416666666667" style="2" customWidth="1"/>
    <col min="7" max="7" width="12" style="2" customWidth="1"/>
    <col min="8" max="23" width="5.70833333333333" style="2" customWidth="1"/>
    <col min="24" max="30" width="10.425" style="3" customWidth="1"/>
    <col min="31" max="31" width="10.425" style="2" customWidth="1"/>
    <col min="32" max="16384" width="9.14166666666667" style="2"/>
  </cols>
  <sheetData>
    <row r="1" ht="15"/>
    <row r="2" ht="15" spans="2:31">
      <c r="B2" s="4"/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3"/>
    </row>
    <row r="3" ht="15" spans="2:31">
      <c r="B3" s="7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74"/>
    </row>
    <row r="4" ht="15" spans="2:31">
      <c r="B4" s="7"/>
      <c r="C4" s="10" t="s">
        <v>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75"/>
    </row>
    <row r="5" ht="15" spans="2:31">
      <c r="B5" s="7"/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74"/>
    </row>
    <row r="6" ht="16.5" customHeight="1" spans="2:31">
      <c r="B6" s="12"/>
      <c r="C6" s="13" t="s">
        <v>2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76"/>
    </row>
    <row r="7" ht="23.25" customHeight="1" spans="3:8">
      <c r="C7" s="15" t="s">
        <v>3</v>
      </c>
      <c r="G7" s="16"/>
      <c r="H7" s="16"/>
    </row>
    <row r="8" ht="15" customHeight="1" spans="2:12">
      <c r="B8" s="17"/>
      <c r="C8" s="18" t="s">
        <v>4</v>
      </c>
      <c r="D8" s="19"/>
      <c r="E8" s="19"/>
      <c r="F8" s="20"/>
      <c r="G8" s="21"/>
      <c r="H8" s="21"/>
      <c r="I8" s="58"/>
      <c r="J8" s="21"/>
      <c r="K8" s="21"/>
      <c r="L8" s="21"/>
    </row>
    <row r="9" ht="15" customHeight="1" spans="3:11">
      <c r="C9" s="22" t="s">
        <v>5</v>
      </c>
      <c r="D9" s="23">
        <v>45916</v>
      </c>
      <c r="E9" s="23"/>
      <c r="F9" s="24"/>
      <c r="G9" s="25"/>
      <c r="H9" s="26"/>
      <c r="I9" s="26"/>
      <c r="J9" s="26"/>
      <c r="K9" s="26"/>
    </row>
    <row r="10" ht="15" customHeight="1" spans="2:11">
      <c r="B10" s="27"/>
      <c r="C10" s="22" t="s">
        <v>6</v>
      </c>
      <c r="D10" s="28">
        <v>45930</v>
      </c>
      <c r="E10" s="28"/>
      <c r="F10" s="29"/>
      <c r="G10" s="30"/>
      <c r="H10" s="26"/>
      <c r="I10" s="26"/>
      <c r="J10" s="26"/>
      <c r="K10" s="26"/>
    </row>
    <row r="11" ht="15"/>
    <row r="12" ht="21.75" customHeight="1" spans="2:31">
      <c r="B12" s="31" t="s">
        <v>7</v>
      </c>
      <c r="C12" s="31" t="s">
        <v>8</v>
      </c>
      <c r="D12" s="31" t="s">
        <v>9</v>
      </c>
      <c r="E12" s="31" t="s">
        <v>10</v>
      </c>
      <c r="F12" s="31" t="s">
        <v>11</v>
      </c>
      <c r="G12" s="32" t="s">
        <v>12</v>
      </c>
      <c r="H12" s="33" t="str">
        <f>IF(COLUMN()-COLUMN($H$12)&lt;=$D$10-$D9+1,TEXT($D$9+COLUMN()-COLUMN($H$12),"ddd"),"")</f>
        <v>Tue</v>
      </c>
      <c r="I12" s="59" t="str">
        <f t="shared" ref="I12:W12" si="0">IF(COLUMN()-COLUMN($H$12)&lt;=$D$10-$D9+1,TEXT($D$9+COLUMN()-COLUMN($H$12),"ddd"),"")</f>
        <v>Wed</v>
      </c>
      <c r="J12" s="59" t="str">
        <f t="shared" si="0"/>
        <v>Thu</v>
      </c>
      <c r="K12" s="59" t="str">
        <f t="shared" si="0"/>
        <v>Fri</v>
      </c>
      <c r="L12" s="59" t="str">
        <f t="shared" si="0"/>
        <v>Sat</v>
      </c>
      <c r="M12" s="59" t="str">
        <f t="shared" si="0"/>
        <v>Sun</v>
      </c>
      <c r="N12" s="59" t="str">
        <f t="shared" si="0"/>
        <v>Mon</v>
      </c>
      <c r="O12" s="59" t="str">
        <f t="shared" si="0"/>
        <v>Tue</v>
      </c>
      <c r="P12" s="59" t="str">
        <f t="shared" si="0"/>
        <v>Wed</v>
      </c>
      <c r="Q12" s="59" t="str">
        <f t="shared" si="0"/>
        <v>Thu</v>
      </c>
      <c r="R12" s="59" t="str">
        <f t="shared" si="0"/>
        <v>Fri</v>
      </c>
      <c r="S12" s="59" t="str">
        <f t="shared" si="0"/>
        <v>Sat</v>
      </c>
      <c r="T12" s="59" t="str">
        <f t="shared" si="0"/>
        <v>Sun</v>
      </c>
      <c r="U12" s="59" t="str">
        <f t="shared" si="0"/>
        <v>Mon</v>
      </c>
      <c r="V12" s="59" t="str">
        <f t="shared" si="0"/>
        <v>Tue</v>
      </c>
      <c r="W12" s="63" t="str">
        <f t="shared" si="0"/>
        <v>Wed</v>
      </c>
      <c r="X12" s="64" t="s">
        <v>13</v>
      </c>
      <c r="Y12" s="77" t="s">
        <v>13</v>
      </c>
      <c r="Z12" s="77" t="s">
        <v>14</v>
      </c>
      <c r="AA12" s="77" t="s">
        <v>15</v>
      </c>
      <c r="AB12" s="77" t="s">
        <v>16</v>
      </c>
      <c r="AC12" s="77" t="s">
        <v>17</v>
      </c>
      <c r="AD12" s="77" t="s">
        <v>18</v>
      </c>
      <c r="AE12" s="31" t="s">
        <v>19</v>
      </c>
    </row>
    <row r="13" ht="13.5" customHeight="1" spans="2:31">
      <c r="B13" s="34"/>
      <c r="C13" s="34"/>
      <c r="D13" s="34"/>
      <c r="E13" s="34"/>
      <c r="F13" s="34"/>
      <c r="G13" s="35"/>
      <c r="H13" s="36">
        <f t="shared" ref="H13:W13" si="1">IF(COLUMN()-COLUMN($H$13)&lt;=$D$10-$D$9+1,DAY($D$9+COLUMN()-COLUMN($H$13)),"")</f>
        <v>16</v>
      </c>
      <c r="I13" s="60">
        <f t="shared" si="1"/>
        <v>17</v>
      </c>
      <c r="J13" s="60">
        <f t="shared" si="1"/>
        <v>18</v>
      </c>
      <c r="K13" s="60">
        <f t="shared" si="1"/>
        <v>19</v>
      </c>
      <c r="L13" s="60">
        <f t="shared" si="1"/>
        <v>20</v>
      </c>
      <c r="M13" s="60">
        <f t="shared" si="1"/>
        <v>21</v>
      </c>
      <c r="N13" s="60">
        <f t="shared" si="1"/>
        <v>22</v>
      </c>
      <c r="O13" s="60">
        <f t="shared" si="1"/>
        <v>23</v>
      </c>
      <c r="P13" s="60">
        <f t="shared" si="1"/>
        <v>24</v>
      </c>
      <c r="Q13" s="60">
        <f t="shared" si="1"/>
        <v>25</v>
      </c>
      <c r="R13" s="60">
        <f t="shared" si="1"/>
        <v>26</v>
      </c>
      <c r="S13" s="60">
        <f t="shared" si="1"/>
        <v>27</v>
      </c>
      <c r="T13" s="60">
        <f t="shared" si="1"/>
        <v>28</v>
      </c>
      <c r="U13" s="60">
        <f t="shared" si="1"/>
        <v>29</v>
      </c>
      <c r="V13" s="60">
        <f t="shared" si="1"/>
        <v>30</v>
      </c>
      <c r="W13" s="65">
        <f t="shared" si="1"/>
        <v>1</v>
      </c>
      <c r="X13" s="66" t="s">
        <v>20</v>
      </c>
      <c r="Y13" s="31" t="s">
        <v>21</v>
      </c>
      <c r="Z13" s="31" t="s">
        <v>22</v>
      </c>
      <c r="AA13" s="31" t="s">
        <v>23</v>
      </c>
      <c r="AB13" s="31" t="s">
        <v>24</v>
      </c>
      <c r="AC13" s="31" t="s">
        <v>25</v>
      </c>
      <c r="AD13" s="31" t="s">
        <v>24</v>
      </c>
      <c r="AE13" s="34"/>
    </row>
    <row r="14" ht="11.25" customHeight="1" spans="2:31">
      <c r="B14" s="37"/>
      <c r="C14" s="37"/>
      <c r="D14" s="37"/>
      <c r="E14" s="37"/>
      <c r="F14" s="37"/>
      <c r="G14" s="38"/>
      <c r="H14" s="39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7"/>
      <c r="X14" s="68"/>
      <c r="Y14" s="37"/>
      <c r="Z14" s="37"/>
      <c r="AA14" s="37"/>
      <c r="AB14" s="37"/>
      <c r="AC14" s="37"/>
      <c r="AD14" s="37"/>
      <c r="AE14" s="37"/>
    </row>
    <row r="15" ht="24.75" customHeight="1" spans="2:31">
      <c r="B15" s="40">
        <f>ROW()-14</f>
        <v>1</v>
      </c>
      <c r="C15" s="41" t="s">
        <v>26</v>
      </c>
      <c r="D15" s="41" t="s">
        <v>27</v>
      </c>
      <c r="E15" s="41" t="s">
        <v>28</v>
      </c>
      <c r="F15" s="41" t="s">
        <v>29</v>
      </c>
      <c r="G15" s="42" t="s">
        <v>30</v>
      </c>
      <c r="H15" s="43">
        <v>12</v>
      </c>
      <c r="I15" s="44">
        <v>12</v>
      </c>
      <c r="J15" s="44">
        <v>12</v>
      </c>
      <c r="K15" s="44">
        <v>12</v>
      </c>
      <c r="L15" s="44" t="s">
        <v>31</v>
      </c>
      <c r="M15" s="44">
        <v>12</v>
      </c>
      <c r="N15" s="44">
        <v>12</v>
      </c>
      <c r="O15" s="44">
        <v>12</v>
      </c>
      <c r="P15" s="44">
        <v>12</v>
      </c>
      <c r="Q15" s="44">
        <v>12</v>
      </c>
      <c r="R15" s="44">
        <v>12</v>
      </c>
      <c r="S15" s="44">
        <v>12</v>
      </c>
      <c r="T15" s="44" t="s">
        <v>31</v>
      </c>
      <c r="U15" s="44">
        <v>12</v>
      </c>
      <c r="V15" s="44">
        <v>12</v>
      </c>
      <c r="W15" s="69"/>
      <c r="X15" s="70" cm="1">
        <f t="array" ref="X15">SUMPRODUCT(--ISNUMBER(H15:W15),--($H$14:$W$14&lt;&gt;"LH"),--($H$14:$W$14&lt;&gt;"SH"))</f>
        <v>13</v>
      </c>
      <c r="Y15" s="44">
        <f>X15*8</f>
        <v>104</v>
      </c>
      <c r="Z15" s="44"/>
      <c r="AA15" s="44">
        <f>SUM(H15:W15)-AB15-AD15-Y15</f>
        <v>52</v>
      </c>
      <c r="AB15" s="44">
        <f t="shared" ref="AB15:AB46" si="2">SUMIF($H$14:$W$14,"LH",$H15:$W15)</f>
        <v>0</v>
      </c>
      <c r="AC15" s="44"/>
      <c r="AD15" s="44">
        <f t="shared" ref="AD15:AD46" si="3">SUMIF($H$14:$W$14,"SH",$H15:$W15)</f>
        <v>0</v>
      </c>
      <c r="AE15" s="78"/>
    </row>
    <row r="16" ht="24.95" customHeight="1" spans="2:31">
      <c r="B16" s="40">
        <f t="shared" ref="B16:B46" si="4">ROW()-14</f>
        <v>2</v>
      </c>
      <c r="C16" s="41" t="s">
        <v>32</v>
      </c>
      <c r="D16" s="41" t="s">
        <v>33</v>
      </c>
      <c r="E16" s="41" t="s">
        <v>34</v>
      </c>
      <c r="F16" s="41" t="s">
        <v>29</v>
      </c>
      <c r="G16" s="42" t="s">
        <v>30</v>
      </c>
      <c r="H16" s="43">
        <v>12</v>
      </c>
      <c r="I16" s="44">
        <v>12</v>
      </c>
      <c r="J16" s="44">
        <v>12</v>
      </c>
      <c r="K16" s="44">
        <v>12</v>
      </c>
      <c r="L16" s="44">
        <v>12</v>
      </c>
      <c r="M16" s="44" t="s">
        <v>31</v>
      </c>
      <c r="N16" s="44">
        <v>12</v>
      </c>
      <c r="O16" s="44">
        <v>12</v>
      </c>
      <c r="P16" s="44">
        <v>12</v>
      </c>
      <c r="Q16" s="44">
        <v>12</v>
      </c>
      <c r="R16" s="44">
        <v>12</v>
      </c>
      <c r="S16" s="44" t="s">
        <v>31</v>
      </c>
      <c r="T16" s="44">
        <v>12</v>
      </c>
      <c r="U16" s="44">
        <v>12</v>
      </c>
      <c r="V16" s="44">
        <v>12</v>
      </c>
      <c r="W16" s="69"/>
      <c r="X16" s="70" cm="1">
        <f t="array" ref="X16">SUMPRODUCT(--ISNUMBER(H16:W16),--($H$14:$W$14&lt;&gt;"LH"),--($H$14:$W$14&lt;&gt;"SH"))</f>
        <v>13</v>
      </c>
      <c r="Y16" s="44">
        <f t="shared" ref="Y16:Y46" si="5">X16*8</f>
        <v>104</v>
      </c>
      <c r="Z16" s="44"/>
      <c r="AA16" s="44">
        <f t="shared" ref="AA16:AA46" si="6">SUM(H16:W16)-AB16-AD16-Y16</f>
        <v>52</v>
      </c>
      <c r="AB16" s="44">
        <f t="shared" si="2"/>
        <v>0</v>
      </c>
      <c r="AC16" s="44"/>
      <c r="AD16" s="44">
        <f t="shared" si="3"/>
        <v>0</v>
      </c>
      <c r="AE16" s="78"/>
    </row>
    <row r="17" ht="24.95" customHeight="1" spans="2:31">
      <c r="B17" s="40">
        <f t="shared" si="4"/>
        <v>3</v>
      </c>
      <c r="C17" s="41" t="s">
        <v>35</v>
      </c>
      <c r="D17" s="41" t="s">
        <v>36</v>
      </c>
      <c r="E17" s="41" t="s">
        <v>34</v>
      </c>
      <c r="F17" s="41" t="s">
        <v>29</v>
      </c>
      <c r="G17" s="42" t="s">
        <v>30</v>
      </c>
      <c r="H17" s="43">
        <v>12</v>
      </c>
      <c r="I17" s="44">
        <v>12</v>
      </c>
      <c r="J17" s="44">
        <v>12</v>
      </c>
      <c r="K17" s="44" t="s">
        <v>31</v>
      </c>
      <c r="L17" s="44">
        <v>12</v>
      </c>
      <c r="M17" s="44">
        <v>12</v>
      </c>
      <c r="N17" s="44">
        <v>12</v>
      </c>
      <c r="O17" s="44">
        <v>12</v>
      </c>
      <c r="P17" s="44">
        <v>12</v>
      </c>
      <c r="Q17" s="44">
        <v>12</v>
      </c>
      <c r="R17" s="44">
        <v>12</v>
      </c>
      <c r="S17" s="44">
        <v>12</v>
      </c>
      <c r="T17" s="44">
        <v>12</v>
      </c>
      <c r="U17" s="44">
        <v>12</v>
      </c>
      <c r="V17" s="44">
        <v>12</v>
      </c>
      <c r="W17" s="69"/>
      <c r="X17" s="70" cm="1">
        <f t="array" ref="X17">SUMPRODUCT(--ISNUMBER(H17:W17),--($H$14:$W$14&lt;&gt;"LH"),--($H$14:$W$14&lt;&gt;"SH"))</f>
        <v>14</v>
      </c>
      <c r="Y17" s="44">
        <f t="shared" si="5"/>
        <v>112</v>
      </c>
      <c r="Z17" s="44"/>
      <c r="AA17" s="44">
        <f t="shared" si="6"/>
        <v>56</v>
      </c>
      <c r="AB17" s="44">
        <f t="shared" si="2"/>
        <v>0</v>
      </c>
      <c r="AC17" s="44"/>
      <c r="AD17" s="44">
        <f t="shared" si="3"/>
        <v>0</v>
      </c>
      <c r="AE17" s="78"/>
    </row>
    <row r="18" ht="24.95" customHeight="1" spans="2:31">
      <c r="B18" s="40">
        <f t="shared" si="4"/>
        <v>4</v>
      </c>
      <c r="C18" s="41" t="s">
        <v>37</v>
      </c>
      <c r="D18" s="41" t="s">
        <v>38</v>
      </c>
      <c r="E18" s="41" t="s">
        <v>39</v>
      </c>
      <c r="F18" s="41" t="s">
        <v>29</v>
      </c>
      <c r="G18" s="42" t="s">
        <v>30</v>
      </c>
      <c r="H18" s="43">
        <v>12</v>
      </c>
      <c r="I18" s="44">
        <v>12</v>
      </c>
      <c r="J18" s="44">
        <v>12</v>
      </c>
      <c r="K18" s="44">
        <v>12</v>
      </c>
      <c r="L18" s="44">
        <v>12</v>
      </c>
      <c r="M18" s="44" t="s">
        <v>31</v>
      </c>
      <c r="N18" s="44">
        <v>12</v>
      </c>
      <c r="O18" s="44">
        <v>12</v>
      </c>
      <c r="P18" s="44">
        <v>12</v>
      </c>
      <c r="Q18" s="44">
        <v>12</v>
      </c>
      <c r="R18" s="44">
        <v>12</v>
      </c>
      <c r="S18" s="44">
        <v>12</v>
      </c>
      <c r="T18" s="44">
        <v>12</v>
      </c>
      <c r="U18" s="44">
        <v>12</v>
      </c>
      <c r="V18" s="44">
        <v>12</v>
      </c>
      <c r="W18" s="69"/>
      <c r="X18" s="70" cm="1">
        <f t="array" ref="X18">SUMPRODUCT(--ISNUMBER(H18:W18),--($H$14:$W$14&lt;&gt;"LH"),--($H$14:$W$14&lt;&gt;"SH"))</f>
        <v>14</v>
      </c>
      <c r="Y18" s="44">
        <f t="shared" si="5"/>
        <v>112</v>
      </c>
      <c r="Z18" s="44"/>
      <c r="AA18" s="44">
        <f t="shared" si="6"/>
        <v>56</v>
      </c>
      <c r="AB18" s="44">
        <f t="shared" si="2"/>
        <v>0</v>
      </c>
      <c r="AC18" s="44"/>
      <c r="AD18" s="44">
        <f t="shared" si="3"/>
        <v>0</v>
      </c>
      <c r="AE18" s="78"/>
    </row>
    <row r="19" ht="24.95" customHeight="1" spans="2:31">
      <c r="B19" s="40">
        <f t="shared" si="4"/>
        <v>5</v>
      </c>
      <c r="C19" s="41" t="s">
        <v>40</v>
      </c>
      <c r="D19" s="41" t="s">
        <v>41</v>
      </c>
      <c r="E19" s="41" t="s">
        <v>42</v>
      </c>
      <c r="F19" s="41" t="s">
        <v>29</v>
      </c>
      <c r="G19" s="42" t="s">
        <v>30</v>
      </c>
      <c r="H19" s="43">
        <v>12</v>
      </c>
      <c r="I19" s="44">
        <v>12</v>
      </c>
      <c r="J19" s="44">
        <v>12</v>
      </c>
      <c r="K19" s="44">
        <v>12</v>
      </c>
      <c r="L19" s="44">
        <v>12</v>
      </c>
      <c r="M19" s="44" t="s">
        <v>31</v>
      </c>
      <c r="N19" s="44">
        <v>12</v>
      </c>
      <c r="O19" s="44">
        <v>12</v>
      </c>
      <c r="P19" s="44">
        <v>12</v>
      </c>
      <c r="Q19" s="44">
        <v>12</v>
      </c>
      <c r="R19" s="44">
        <v>12</v>
      </c>
      <c r="S19" s="44">
        <v>12</v>
      </c>
      <c r="T19" s="44" t="s">
        <v>31</v>
      </c>
      <c r="U19" s="44">
        <v>12</v>
      </c>
      <c r="V19" s="44">
        <v>12</v>
      </c>
      <c r="W19" s="69"/>
      <c r="X19" s="70" cm="1">
        <f t="array" ref="X19">SUMPRODUCT(--ISNUMBER(H19:W19),--($H$14:$W$14&lt;&gt;"LH"),--($H$14:$W$14&lt;&gt;"SH"))</f>
        <v>13</v>
      </c>
      <c r="Y19" s="44">
        <f t="shared" si="5"/>
        <v>104</v>
      </c>
      <c r="Z19" s="44"/>
      <c r="AA19" s="44">
        <f t="shared" si="6"/>
        <v>52</v>
      </c>
      <c r="AB19" s="44">
        <f t="shared" si="2"/>
        <v>0</v>
      </c>
      <c r="AC19" s="44"/>
      <c r="AD19" s="44">
        <f t="shared" si="3"/>
        <v>0</v>
      </c>
      <c r="AE19" s="78"/>
    </row>
    <row r="20" ht="24.95" customHeight="1" spans="2:31">
      <c r="B20" s="40">
        <f t="shared" si="4"/>
        <v>6</v>
      </c>
      <c r="C20" s="41" t="s">
        <v>43</v>
      </c>
      <c r="D20" s="41" t="s">
        <v>44</v>
      </c>
      <c r="E20" s="41" t="s">
        <v>45</v>
      </c>
      <c r="F20" s="41" t="s">
        <v>29</v>
      </c>
      <c r="G20" s="42" t="s">
        <v>30</v>
      </c>
      <c r="H20" s="43">
        <v>12</v>
      </c>
      <c r="I20" s="44">
        <v>12</v>
      </c>
      <c r="J20" s="44">
        <v>12</v>
      </c>
      <c r="K20" s="44">
        <v>12</v>
      </c>
      <c r="L20" s="44">
        <v>12</v>
      </c>
      <c r="M20" s="44" t="s">
        <v>31</v>
      </c>
      <c r="N20" s="44">
        <v>12</v>
      </c>
      <c r="O20" s="44">
        <v>12</v>
      </c>
      <c r="P20" s="44">
        <v>12</v>
      </c>
      <c r="Q20" s="44">
        <v>12</v>
      </c>
      <c r="R20" s="44">
        <v>12</v>
      </c>
      <c r="S20" s="44">
        <v>12</v>
      </c>
      <c r="T20" s="44" t="s">
        <v>31</v>
      </c>
      <c r="U20" s="44">
        <v>12</v>
      </c>
      <c r="V20" s="44">
        <v>12</v>
      </c>
      <c r="W20" s="69"/>
      <c r="X20" s="70" cm="1">
        <f t="array" ref="X20">SUMPRODUCT(--ISNUMBER(H20:W20),--($H$14:$W$14&lt;&gt;"LH"),--($H$14:$W$14&lt;&gt;"SH"))</f>
        <v>13</v>
      </c>
      <c r="Y20" s="44">
        <f t="shared" si="5"/>
        <v>104</v>
      </c>
      <c r="Z20" s="44"/>
      <c r="AA20" s="44">
        <f t="shared" si="6"/>
        <v>52</v>
      </c>
      <c r="AB20" s="44">
        <f t="shared" si="2"/>
        <v>0</v>
      </c>
      <c r="AC20" s="44"/>
      <c r="AD20" s="44">
        <f t="shared" si="3"/>
        <v>0</v>
      </c>
      <c r="AE20" s="78"/>
    </row>
    <row r="21" ht="24.95" customHeight="1" spans="2:31">
      <c r="B21" s="40">
        <f t="shared" si="4"/>
        <v>7</v>
      </c>
      <c r="C21" s="41" t="s">
        <v>46</v>
      </c>
      <c r="D21" s="41" t="s">
        <v>47</v>
      </c>
      <c r="E21" s="41" t="s">
        <v>45</v>
      </c>
      <c r="F21" s="41" t="s">
        <v>29</v>
      </c>
      <c r="G21" s="42" t="s">
        <v>30</v>
      </c>
      <c r="H21" s="43">
        <v>12</v>
      </c>
      <c r="I21" s="44" t="s">
        <v>31</v>
      </c>
      <c r="J21" s="44">
        <v>12</v>
      </c>
      <c r="K21" s="44">
        <v>12</v>
      </c>
      <c r="L21" s="44">
        <v>12</v>
      </c>
      <c r="M21" s="44">
        <v>12</v>
      </c>
      <c r="N21" s="44">
        <v>12</v>
      </c>
      <c r="O21" s="44">
        <v>12</v>
      </c>
      <c r="P21" s="44" t="s">
        <v>31</v>
      </c>
      <c r="Q21" s="44">
        <v>12</v>
      </c>
      <c r="R21" s="44">
        <v>12</v>
      </c>
      <c r="S21" s="44">
        <v>12</v>
      </c>
      <c r="T21" s="44">
        <v>12</v>
      </c>
      <c r="U21" s="44">
        <v>12</v>
      </c>
      <c r="V21" s="44">
        <v>12</v>
      </c>
      <c r="W21" s="69"/>
      <c r="X21" s="70" cm="1">
        <f t="array" ref="X21">SUMPRODUCT(--ISNUMBER(H21:W21),--($H$14:$W$14&lt;&gt;"LH"),--($H$14:$W$14&lt;&gt;"SH"))</f>
        <v>13</v>
      </c>
      <c r="Y21" s="44">
        <f t="shared" si="5"/>
        <v>104</v>
      </c>
      <c r="Z21" s="44"/>
      <c r="AA21" s="44">
        <f t="shared" si="6"/>
        <v>52</v>
      </c>
      <c r="AB21" s="44">
        <f t="shared" si="2"/>
        <v>0</v>
      </c>
      <c r="AC21" s="44"/>
      <c r="AD21" s="44">
        <f t="shared" si="3"/>
        <v>0</v>
      </c>
      <c r="AE21" s="78"/>
    </row>
    <row r="22" ht="24.95" customHeight="1" spans="2:31">
      <c r="B22" s="40">
        <f t="shared" si="4"/>
        <v>8</v>
      </c>
      <c r="C22" s="41" t="s">
        <v>48</v>
      </c>
      <c r="D22" s="41" t="s">
        <v>49</v>
      </c>
      <c r="E22" s="41" t="s">
        <v>45</v>
      </c>
      <c r="F22" s="41" t="s">
        <v>29</v>
      </c>
      <c r="G22" s="42" t="s">
        <v>30</v>
      </c>
      <c r="H22" s="43">
        <v>12</v>
      </c>
      <c r="I22" s="44">
        <v>12</v>
      </c>
      <c r="J22" s="44">
        <v>12</v>
      </c>
      <c r="K22" s="44">
        <v>12</v>
      </c>
      <c r="L22" s="44" t="s">
        <v>31</v>
      </c>
      <c r="M22" s="44">
        <v>12</v>
      </c>
      <c r="N22" s="44">
        <v>12</v>
      </c>
      <c r="O22" s="44">
        <v>12</v>
      </c>
      <c r="P22" s="44">
        <v>12</v>
      </c>
      <c r="Q22" s="44">
        <v>12</v>
      </c>
      <c r="R22" s="44" t="s">
        <v>31</v>
      </c>
      <c r="S22" s="44">
        <v>12</v>
      </c>
      <c r="T22" s="44">
        <v>12</v>
      </c>
      <c r="U22" s="44">
        <v>12</v>
      </c>
      <c r="V22" s="44">
        <v>12</v>
      </c>
      <c r="W22" s="69"/>
      <c r="X22" s="70" cm="1">
        <f t="array" ref="X22">SUMPRODUCT(--ISNUMBER(H22:W22),--($H$14:$W$14&lt;&gt;"LH"),--($H$14:$W$14&lt;&gt;"SH"))</f>
        <v>13</v>
      </c>
      <c r="Y22" s="44">
        <f t="shared" si="5"/>
        <v>104</v>
      </c>
      <c r="Z22" s="44"/>
      <c r="AA22" s="44">
        <f t="shared" si="6"/>
        <v>52</v>
      </c>
      <c r="AB22" s="44">
        <f t="shared" si="2"/>
        <v>0</v>
      </c>
      <c r="AC22" s="44"/>
      <c r="AD22" s="44">
        <f t="shared" si="3"/>
        <v>0</v>
      </c>
      <c r="AE22" s="78"/>
    </row>
    <row r="23" ht="24.95" customHeight="1" spans="2:31">
      <c r="B23" s="40">
        <f t="shared" si="4"/>
        <v>9</v>
      </c>
      <c r="C23" s="41" t="s">
        <v>50</v>
      </c>
      <c r="D23" s="41" t="s">
        <v>51</v>
      </c>
      <c r="E23" s="41" t="s">
        <v>45</v>
      </c>
      <c r="F23" s="41" t="s">
        <v>29</v>
      </c>
      <c r="G23" s="42" t="s">
        <v>30</v>
      </c>
      <c r="H23" s="43" t="s">
        <v>31</v>
      </c>
      <c r="I23" s="44">
        <v>12</v>
      </c>
      <c r="J23" s="44">
        <v>12</v>
      </c>
      <c r="K23" s="44">
        <v>12</v>
      </c>
      <c r="L23" s="44">
        <v>12</v>
      </c>
      <c r="M23" s="44">
        <v>12</v>
      </c>
      <c r="N23" s="44">
        <v>12</v>
      </c>
      <c r="O23" s="44" t="s">
        <v>31</v>
      </c>
      <c r="P23" s="44">
        <v>12</v>
      </c>
      <c r="Q23" s="44">
        <v>12</v>
      </c>
      <c r="R23" s="44">
        <v>12</v>
      </c>
      <c r="S23" s="44">
        <v>12</v>
      </c>
      <c r="T23" s="44">
        <v>12</v>
      </c>
      <c r="U23" s="44">
        <v>12</v>
      </c>
      <c r="V23" s="44" t="s">
        <v>31</v>
      </c>
      <c r="W23" s="69"/>
      <c r="X23" s="70" cm="1">
        <f t="array" ref="X23">SUMPRODUCT(--ISNUMBER(H23:W23),--($H$14:$W$14&lt;&gt;"LH"),--($H$14:$W$14&lt;&gt;"SH"))</f>
        <v>12</v>
      </c>
      <c r="Y23" s="44">
        <f t="shared" si="5"/>
        <v>96</v>
      </c>
      <c r="Z23" s="44"/>
      <c r="AA23" s="44">
        <f t="shared" si="6"/>
        <v>48</v>
      </c>
      <c r="AB23" s="44">
        <f t="shared" si="2"/>
        <v>0</v>
      </c>
      <c r="AC23" s="44"/>
      <c r="AD23" s="44">
        <f t="shared" si="3"/>
        <v>0</v>
      </c>
      <c r="AE23" s="78"/>
    </row>
    <row r="24" ht="24.75" customHeight="1" spans="2:31">
      <c r="B24" s="40">
        <f t="shared" si="4"/>
        <v>10</v>
      </c>
      <c r="C24" s="41" t="s">
        <v>52</v>
      </c>
      <c r="D24" s="41" t="s">
        <v>53</v>
      </c>
      <c r="E24" s="41" t="s">
        <v>45</v>
      </c>
      <c r="F24" s="41" t="s">
        <v>29</v>
      </c>
      <c r="G24" s="42" t="s">
        <v>30</v>
      </c>
      <c r="H24" s="43" t="s">
        <v>31</v>
      </c>
      <c r="I24" s="44">
        <v>12</v>
      </c>
      <c r="J24" s="44">
        <v>12</v>
      </c>
      <c r="K24" s="44">
        <v>12</v>
      </c>
      <c r="L24" s="44">
        <v>12</v>
      </c>
      <c r="M24" s="44">
        <v>12</v>
      </c>
      <c r="N24" s="44">
        <v>12</v>
      </c>
      <c r="O24" s="44" t="s">
        <v>31</v>
      </c>
      <c r="P24" s="44">
        <v>12</v>
      </c>
      <c r="Q24" s="44">
        <v>12</v>
      </c>
      <c r="R24" s="44">
        <v>12</v>
      </c>
      <c r="S24" s="44">
        <v>12</v>
      </c>
      <c r="T24" s="44">
        <v>12</v>
      </c>
      <c r="U24" s="44">
        <v>12</v>
      </c>
      <c r="V24" s="44" t="s">
        <v>31</v>
      </c>
      <c r="W24" s="69"/>
      <c r="X24" s="70" cm="1">
        <f t="array" ref="X24">SUMPRODUCT(--ISNUMBER(H24:W24),--($H$14:$W$14&lt;&gt;"LH"),--($H$14:$W$14&lt;&gt;"SH"))</f>
        <v>12</v>
      </c>
      <c r="Y24" s="44">
        <f t="shared" si="5"/>
        <v>96</v>
      </c>
      <c r="Z24" s="44"/>
      <c r="AA24" s="44">
        <f t="shared" si="6"/>
        <v>48</v>
      </c>
      <c r="AB24" s="44">
        <f t="shared" si="2"/>
        <v>0</v>
      </c>
      <c r="AC24" s="44"/>
      <c r="AD24" s="44">
        <f t="shared" si="3"/>
        <v>0</v>
      </c>
      <c r="AE24" s="78"/>
    </row>
    <row r="25" ht="24.95" customHeight="1" spans="2:31">
      <c r="B25" s="40">
        <f t="shared" si="4"/>
        <v>11</v>
      </c>
      <c r="C25" s="41" t="s">
        <v>54</v>
      </c>
      <c r="D25" s="41" t="s">
        <v>55</v>
      </c>
      <c r="E25" s="41" t="s">
        <v>56</v>
      </c>
      <c r="F25" s="41" t="s">
        <v>29</v>
      </c>
      <c r="G25" s="42" t="s">
        <v>30</v>
      </c>
      <c r="H25" s="43">
        <v>12</v>
      </c>
      <c r="I25" s="44">
        <v>12</v>
      </c>
      <c r="J25" s="44">
        <v>12</v>
      </c>
      <c r="K25" s="44">
        <v>12</v>
      </c>
      <c r="L25" s="44">
        <v>12</v>
      </c>
      <c r="M25" s="44">
        <v>12</v>
      </c>
      <c r="N25" s="44" t="s">
        <v>31</v>
      </c>
      <c r="O25" s="44">
        <v>12</v>
      </c>
      <c r="P25" s="44">
        <v>12</v>
      </c>
      <c r="Q25" s="44">
        <v>12</v>
      </c>
      <c r="R25" s="44">
        <v>12</v>
      </c>
      <c r="S25" s="44">
        <v>12</v>
      </c>
      <c r="T25" s="44">
        <v>12</v>
      </c>
      <c r="U25" s="44" t="s">
        <v>31</v>
      </c>
      <c r="V25" s="44">
        <v>12</v>
      </c>
      <c r="W25" s="69"/>
      <c r="X25" s="70" cm="1">
        <f t="array" ref="X25">SUMPRODUCT(--ISNUMBER(H25:W25),--($H$14:$W$14&lt;&gt;"LH"),--($H$14:$W$14&lt;&gt;"SH"))</f>
        <v>13</v>
      </c>
      <c r="Y25" s="44">
        <f t="shared" si="5"/>
        <v>104</v>
      </c>
      <c r="Z25" s="44"/>
      <c r="AA25" s="44">
        <f t="shared" si="6"/>
        <v>52</v>
      </c>
      <c r="AB25" s="44">
        <f t="shared" si="2"/>
        <v>0</v>
      </c>
      <c r="AC25" s="44"/>
      <c r="AD25" s="44">
        <f t="shared" si="3"/>
        <v>0</v>
      </c>
      <c r="AE25" s="78"/>
    </row>
    <row r="26" ht="24.95" customHeight="1" spans="2:31">
      <c r="B26" s="40">
        <f t="shared" si="4"/>
        <v>12</v>
      </c>
      <c r="C26" s="41" t="s">
        <v>57</v>
      </c>
      <c r="D26" s="41" t="s">
        <v>58</v>
      </c>
      <c r="E26" s="41" t="s">
        <v>56</v>
      </c>
      <c r="F26" s="41" t="s">
        <v>29</v>
      </c>
      <c r="G26" s="42" t="s">
        <v>30</v>
      </c>
      <c r="H26" s="43">
        <v>12</v>
      </c>
      <c r="I26" s="44">
        <v>12</v>
      </c>
      <c r="J26" s="44">
        <v>12</v>
      </c>
      <c r="K26" s="44">
        <v>12</v>
      </c>
      <c r="L26" s="44">
        <v>12</v>
      </c>
      <c r="M26" s="44">
        <v>12</v>
      </c>
      <c r="N26" s="44" t="s">
        <v>31</v>
      </c>
      <c r="O26" s="44">
        <v>12</v>
      </c>
      <c r="P26" s="44">
        <v>12</v>
      </c>
      <c r="Q26" s="44">
        <v>12</v>
      </c>
      <c r="R26" s="44">
        <v>12</v>
      </c>
      <c r="S26" s="44">
        <v>12</v>
      </c>
      <c r="T26" s="44">
        <v>12</v>
      </c>
      <c r="U26" s="44" t="s">
        <v>31</v>
      </c>
      <c r="V26" s="44">
        <v>12</v>
      </c>
      <c r="W26" s="69"/>
      <c r="X26" s="70" cm="1">
        <f t="array" ref="X26">SUMPRODUCT(--ISNUMBER(H26:W26),--($H$14:$W$14&lt;&gt;"LH"),--($H$14:$W$14&lt;&gt;"SH"))</f>
        <v>13</v>
      </c>
      <c r="Y26" s="44">
        <f t="shared" si="5"/>
        <v>104</v>
      </c>
      <c r="Z26" s="44"/>
      <c r="AA26" s="44">
        <f t="shared" si="6"/>
        <v>52</v>
      </c>
      <c r="AB26" s="44">
        <f t="shared" si="2"/>
        <v>0</v>
      </c>
      <c r="AC26" s="44"/>
      <c r="AD26" s="44">
        <f t="shared" si="3"/>
        <v>0</v>
      </c>
      <c r="AE26" s="78"/>
    </row>
    <row r="27" ht="24.95" customHeight="1" spans="2:31">
      <c r="B27" s="40">
        <f t="shared" si="4"/>
        <v>13</v>
      </c>
      <c r="C27" s="41" t="s">
        <v>59</v>
      </c>
      <c r="D27" s="41" t="s">
        <v>60</v>
      </c>
      <c r="E27" s="41" t="s">
        <v>45</v>
      </c>
      <c r="F27" s="41" t="s">
        <v>29</v>
      </c>
      <c r="G27" s="42" t="s">
        <v>30</v>
      </c>
      <c r="H27" s="43">
        <v>12</v>
      </c>
      <c r="I27" s="44">
        <v>12</v>
      </c>
      <c r="J27" s="44">
        <v>12</v>
      </c>
      <c r="K27" s="44">
        <v>12</v>
      </c>
      <c r="L27" s="44" t="s">
        <v>31</v>
      </c>
      <c r="M27" s="44">
        <v>12</v>
      </c>
      <c r="N27" s="44">
        <v>12</v>
      </c>
      <c r="O27" s="44">
        <v>12</v>
      </c>
      <c r="P27" s="44">
        <v>12</v>
      </c>
      <c r="Q27" s="44">
        <v>12</v>
      </c>
      <c r="R27" s="44" t="s">
        <v>31</v>
      </c>
      <c r="S27" s="44">
        <v>12</v>
      </c>
      <c r="T27" s="44">
        <v>12</v>
      </c>
      <c r="U27" s="44">
        <v>12</v>
      </c>
      <c r="V27" s="44">
        <v>12</v>
      </c>
      <c r="W27" s="69"/>
      <c r="X27" s="70" cm="1">
        <f t="array" ref="X27">SUMPRODUCT(--ISNUMBER(H27:W27),--($H$14:$W$14&lt;&gt;"LH"),--($H$14:$W$14&lt;&gt;"SH"))</f>
        <v>13</v>
      </c>
      <c r="Y27" s="44">
        <f t="shared" si="5"/>
        <v>104</v>
      </c>
      <c r="Z27" s="44"/>
      <c r="AA27" s="44">
        <f t="shared" si="6"/>
        <v>52</v>
      </c>
      <c r="AB27" s="44">
        <f t="shared" si="2"/>
        <v>0</v>
      </c>
      <c r="AC27" s="44"/>
      <c r="AD27" s="44">
        <f t="shared" si="3"/>
        <v>0</v>
      </c>
      <c r="AE27" s="78"/>
    </row>
    <row r="28" ht="24.95" customHeight="1" spans="2:31">
      <c r="B28" s="40">
        <f t="shared" si="4"/>
        <v>14</v>
      </c>
      <c r="C28" s="41" t="s">
        <v>61</v>
      </c>
      <c r="D28" s="41" t="s">
        <v>62</v>
      </c>
      <c r="E28" s="41" t="s">
        <v>45</v>
      </c>
      <c r="F28" s="41" t="s">
        <v>63</v>
      </c>
      <c r="G28" s="42" t="s">
        <v>64</v>
      </c>
      <c r="H28" s="43">
        <v>12</v>
      </c>
      <c r="I28" s="44">
        <v>12</v>
      </c>
      <c r="J28" s="44">
        <v>12</v>
      </c>
      <c r="K28" s="44">
        <v>12</v>
      </c>
      <c r="L28" s="44">
        <v>12</v>
      </c>
      <c r="M28" s="44">
        <v>12</v>
      </c>
      <c r="N28" s="44" t="s">
        <v>31</v>
      </c>
      <c r="O28" s="44">
        <v>12</v>
      </c>
      <c r="P28" s="44">
        <v>12</v>
      </c>
      <c r="Q28" s="44">
        <v>12</v>
      </c>
      <c r="R28" s="44">
        <v>12</v>
      </c>
      <c r="S28" s="44">
        <v>12</v>
      </c>
      <c r="T28" s="44">
        <v>12</v>
      </c>
      <c r="U28" s="44" t="s">
        <v>31</v>
      </c>
      <c r="V28" s="44">
        <v>12</v>
      </c>
      <c r="W28" s="69"/>
      <c r="X28" s="70" cm="1">
        <f t="array" ref="X28">SUMPRODUCT(--ISNUMBER(H28:W28),--($H$14:$W$14&lt;&gt;"LH"),--($H$14:$W$14&lt;&gt;"SH"))</f>
        <v>13</v>
      </c>
      <c r="Y28" s="44">
        <f t="shared" si="5"/>
        <v>104</v>
      </c>
      <c r="Z28" s="44"/>
      <c r="AA28" s="44">
        <f t="shared" si="6"/>
        <v>52</v>
      </c>
      <c r="AB28" s="44">
        <f t="shared" si="2"/>
        <v>0</v>
      </c>
      <c r="AC28" s="44"/>
      <c r="AD28" s="44">
        <f t="shared" si="3"/>
        <v>0</v>
      </c>
      <c r="AE28" s="44">
        <f>Y28</f>
        <v>104</v>
      </c>
    </row>
    <row r="29" ht="24.95" customHeight="1" spans="2:31">
      <c r="B29" s="40">
        <f t="shared" si="4"/>
        <v>15</v>
      </c>
      <c r="C29" s="41" t="s">
        <v>65</v>
      </c>
      <c r="D29" s="41" t="s">
        <v>66</v>
      </c>
      <c r="E29" s="41" t="s">
        <v>56</v>
      </c>
      <c r="F29" s="41" t="s">
        <v>29</v>
      </c>
      <c r="G29" s="42" t="s">
        <v>30</v>
      </c>
      <c r="H29" s="43">
        <v>12</v>
      </c>
      <c r="I29" s="44" t="s">
        <v>31</v>
      </c>
      <c r="J29" s="44">
        <v>12</v>
      </c>
      <c r="K29" s="44">
        <v>12</v>
      </c>
      <c r="L29" s="44">
        <v>12</v>
      </c>
      <c r="M29" s="44">
        <v>12</v>
      </c>
      <c r="N29" s="44">
        <v>12</v>
      </c>
      <c r="O29" s="44">
        <v>12</v>
      </c>
      <c r="P29" s="44" t="s">
        <v>31</v>
      </c>
      <c r="Q29" s="44">
        <v>12</v>
      </c>
      <c r="R29" s="44">
        <v>12</v>
      </c>
      <c r="S29" s="44">
        <v>12</v>
      </c>
      <c r="T29" s="44">
        <v>12</v>
      </c>
      <c r="U29" s="44">
        <v>12</v>
      </c>
      <c r="V29" s="44">
        <v>12</v>
      </c>
      <c r="W29" s="69"/>
      <c r="X29" s="70" cm="1">
        <f t="array" ref="X29">SUMPRODUCT(--ISNUMBER(H29:W29),--($H$14:$W$14&lt;&gt;"LH"),--($H$14:$W$14&lt;&gt;"SH"))</f>
        <v>13</v>
      </c>
      <c r="Y29" s="44">
        <f t="shared" si="5"/>
        <v>104</v>
      </c>
      <c r="Z29" s="44"/>
      <c r="AA29" s="44">
        <f t="shared" si="6"/>
        <v>52</v>
      </c>
      <c r="AB29" s="44">
        <f t="shared" si="2"/>
        <v>0</v>
      </c>
      <c r="AC29" s="44"/>
      <c r="AD29" s="44">
        <f t="shared" si="3"/>
        <v>0</v>
      </c>
      <c r="AE29" s="78"/>
    </row>
    <row r="30" ht="24.95" customHeight="1" spans="2:31">
      <c r="B30" s="40">
        <f t="shared" si="4"/>
        <v>16</v>
      </c>
      <c r="C30" s="41" t="s">
        <v>67</v>
      </c>
      <c r="D30" s="41" t="s">
        <v>68</v>
      </c>
      <c r="E30" s="41" t="s">
        <v>45</v>
      </c>
      <c r="F30" s="41" t="s">
        <v>29</v>
      </c>
      <c r="G30" s="42" t="s">
        <v>30</v>
      </c>
      <c r="H30" s="43" t="s">
        <v>31</v>
      </c>
      <c r="I30" s="44">
        <v>12</v>
      </c>
      <c r="J30" s="44">
        <v>12</v>
      </c>
      <c r="K30" s="44">
        <v>12</v>
      </c>
      <c r="L30" s="44" t="s">
        <v>31</v>
      </c>
      <c r="M30" s="44">
        <v>12</v>
      </c>
      <c r="N30" s="44">
        <v>12</v>
      </c>
      <c r="O30" s="44">
        <v>12</v>
      </c>
      <c r="P30" s="44">
        <v>12</v>
      </c>
      <c r="Q30" s="44">
        <v>12</v>
      </c>
      <c r="R30" s="44">
        <v>12</v>
      </c>
      <c r="S30" s="44">
        <v>12</v>
      </c>
      <c r="T30" s="44">
        <v>12</v>
      </c>
      <c r="U30" s="44">
        <v>12</v>
      </c>
      <c r="V30" s="44" t="s">
        <v>31</v>
      </c>
      <c r="W30" s="69"/>
      <c r="X30" s="70" cm="1">
        <f t="array" ref="X30">SUMPRODUCT(--ISNUMBER(H30:W30),--($H$14:$W$14&lt;&gt;"LH"),--($H$14:$W$14&lt;&gt;"SH"))</f>
        <v>12</v>
      </c>
      <c r="Y30" s="44">
        <f t="shared" si="5"/>
        <v>96</v>
      </c>
      <c r="Z30" s="44"/>
      <c r="AA30" s="44">
        <f t="shared" si="6"/>
        <v>48</v>
      </c>
      <c r="AB30" s="44">
        <f t="shared" si="2"/>
        <v>0</v>
      </c>
      <c r="AC30" s="44"/>
      <c r="AD30" s="44">
        <f t="shared" si="3"/>
        <v>0</v>
      </c>
      <c r="AE30" s="78"/>
    </row>
    <row r="31" ht="24.95" customHeight="1" spans="2:31">
      <c r="B31" s="40">
        <f t="shared" si="4"/>
        <v>17</v>
      </c>
      <c r="C31" s="41" t="s">
        <v>69</v>
      </c>
      <c r="D31" s="41" t="s">
        <v>70</v>
      </c>
      <c r="E31" s="41" t="s">
        <v>45</v>
      </c>
      <c r="F31" s="41" t="s">
        <v>29</v>
      </c>
      <c r="G31" s="42" t="s">
        <v>30</v>
      </c>
      <c r="H31" s="43">
        <v>12</v>
      </c>
      <c r="I31" s="44">
        <v>12</v>
      </c>
      <c r="J31" s="44">
        <v>12</v>
      </c>
      <c r="K31" s="44">
        <v>12</v>
      </c>
      <c r="L31" s="44" t="s">
        <v>31</v>
      </c>
      <c r="M31" s="44">
        <v>12</v>
      </c>
      <c r="N31" s="44">
        <v>12</v>
      </c>
      <c r="O31" s="44">
        <v>12</v>
      </c>
      <c r="P31" s="44">
        <v>12</v>
      </c>
      <c r="Q31" s="44">
        <v>12</v>
      </c>
      <c r="R31" s="44">
        <v>12</v>
      </c>
      <c r="S31" s="44" t="s">
        <v>31</v>
      </c>
      <c r="T31" s="44">
        <v>12</v>
      </c>
      <c r="U31" s="44">
        <v>12</v>
      </c>
      <c r="V31" s="44">
        <v>12</v>
      </c>
      <c r="W31" s="69"/>
      <c r="X31" s="70" cm="1">
        <f t="array" ref="X31">SUMPRODUCT(--ISNUMBER(H31:W31),--($H$14:$W$14&lt;&gt;"LH"),--($H$14:$W$14&lt;&gt;"SH"))</f>
        <v>13</v>
      </c>
      <c r="Y31" s="44">
        <f t="shared" si="5"/>
        <v>104</v>
      </c>
      <c r="Z31" s="44"/>
      <c r="AA31" s="44">
        <f t="shared" si="6"/>
        <v>52</v>
      </c>
      <c r="AB31" s="44">
        <f t="shared" si="2"/>
        <v>0</v>
      </c>
      <c r="AC31" s="44"/>
      <c r="AD31" s="44">
        <f t="shared" si="3"/>
        <v>0</v>
      </c>
      <c r="AE31" s="78"/>
    </row>
    <row r="32" ht="24.95" customHeight="1" spans="2:31">
      <c r="B32" s="40">
        <f t="shared" si="4"/>
        <v>18</v>
      </c>
      <c r="C32" s="41" t="s">
        <v>71</v>
      </c>
      <c r="D32" s="41" t="s">
        <v>72</v>
      </c>
      <c r="E32" s="41" t="s">
        <v>45</v>
      </c>
      <c r="F32" s="41" t="s">
        <v>29</v>
      </c>
      <c r="G32" s="42" t="s">
        <v>30</v>
      </c>
      <c r="H32" s="43">
        <v>12</v>
      </c>
      <c r="I32" s="44">
        <v>12</v>
      </c>
      <c r="J32" s="44" t="s">
        <v>31</v>
      </c>
      <c r="K32" s="44">
        <v>12</v>
      </c>
      <c r="L32" s="44">
        <v>12</v>
      </c>
      <c r="M32" s="44">
        <v>12</v>
      </c>
      <c r="N32" s="44">
        <v>12</v>
      </c>
      <c r="O32" s="44">
        <v>12</v>
      </c>
      <c r="P32" s="44">
        <v>12</v>
      </c>
      <c r="Q32" s="44">
        <v>12</v>
      </c>
      <c r="R32" s="44">
        <v>12</v>
      </c>
      <c r="S32" s="44">
        <v>12</v>
      </c>
      <c r="T32" s="44">
        <v>12</v>
      </c>
      <c r="U32" s="44">
        <v>12</v>
      </c>
      <c r="V32" s="44">
        <v>12</v>
      </c>
      <c r="W32" s="69"/>
      <c r="X32" s="70" cm="1">
        <f t="array" ref="X32">SUMPRODUCT(--ISNUMBER(H32:W32),--($H$14:$W$14&lt;&gt;"LH"),--($H$14:$W$14&lt;&gt;"SH"))</f>
        <v>14</v>
      </c>
      <c r="Y32" s="44">
        <f t="shared" si="5"/>
        <v>112</v>
      </c>
      <c r="Z32" s="44"/>
      <c r="AA32" s="44">
        <f t="shared" si="6"/>
        <v>56</v>
      </c>
      <c r="AB32" s="44">
        <f t="shared" si="2"/>
        <v>0</v>
      </c>
      <c r="AC32" s="44"/>
      <c r="AD32" s="44">
        <f t="shared" si="3"/>
        <v>0</v>
      </c>
      <c r="AE32" s="78"/>
    </row>
    <row r="33" ht="24.95" customHeight="1" spans="2:31">
      <c r="B33" s="40">
        <f t="shared" si="4"/>
        <v>19</v>
      </c>
      <c r="C33" s="41" t="s">
        <v>73</v>
      </c>
      <c r="D33" s="41" t="s">
        <v>74</v>
      </c>
      <c r="E33" s="41" t="s">
        <v>45</v>
      </c>
      <c r="F33" s="41" t="s">
        <v>29</v>
      </c>
      <c r="G33" s="42" t="s">
        <v>30</v>
      </c>
      <c r="H33" s="43">
        <v>12</v>
      </c>
      <c r="I33" s="44">
        <v>12</v>
      </c>
      <c r="J33" s="44">
        <v>12</v>
      </c>
      <c r="K33" s="44">
        <v>12</v>
      </c>
      <c r="L33" s="44">
        <v>12</v>
      </c>
      <c r="M33" s="44">
        <v>12</v>
      </c>
      <c r="N33" s="44" t="s">
        <v>31</v>
      </c>
      <c r="O33" s="44">
        <v>12</v>
      </c>
      <c r="P33" s="44">
        <v>12</v>
      </c>
      <c r="Q33" s="44">
        <v>12</v>
      </c>
      <c r="R33" s="44">
        <v>12</v>
      </c>
      <c r="S33" s="44">
        <v>12</v>
      </c>
      <c r="T33" s="44">
        <v>12</v>
      </c>
      <c r="U33" s="44" t="s">
        <v>31</v>
      </c>
      <c r="V33" s="44">
        <v>12</v>
      </c>
      <c r="W33" s="69"/>
      <c r="X33" s="70" cm="1">
        <f t="array" ref="X33">SUMPRODUCT(--ISNUMBER(H33:W33),--($H$14:$W$14&lt;&gt;"LH"),--($H$14:$W$14&lt;&gt;"SH"))</f>
        <v>13</v>
      </c>
      <c r="Y33" s="44">
        <f t="shared" si="5"/>
        <v>104</v>
      </c>
      <c r="Z33" s="44"/>
      <c r="AA33" s="44">
        <f t="shared" si="6"/>
        <v>52</v>
      </c>
      <c r="AB33" s="44">
        <f t="shared" si="2"/>
        <v>0</v>
      </c>
      <c r="AC33" s="44"/>
      <c r="AD33" s="44">
        <f t="shared" si="3"/>
        <v>0</v>
      </c>
      <c r="AE33" s="78"/>
    </row>
    <row r="34" ht="24.95" customHeight="1" spans="2:31">
      <c r="B34" s="40">
        <f t="shared" si="4"/>
        <v>20</v>
      </c>
      <c r="C34" s="41" t="s">
        <v>75</v>
      </c>
      <c r="D34" s="41" t="s">
        <v>76</v>
      </c>
      <c r="E34" s="41" t="s">
        <v>56</v>
      </c>
      <c r="F34" s="41" t="s">
        <v>29</v>
      </c>
      <c r="G34" s="42" t="s">
        <v>30</v>
      </c>
      <c r="H34" s="43">
        <v>12</v>
      </c>
      <c r="I34" s="44">
        <v>12</v>
      </c>
      <c r="J34" s="44" t="s">
        <v>31</v>
      </c>
      <c r="K34" s="44">
        <v>12</v>
      </c>
      <c r="L34" s="44">
        <v>12</v>
      </c>
      <c r="M34" s="44">
        <v>12</v>
      </c>
      <c r="N34" s="44">
        <v>12</v>
      </c>
      <c r="O34" s="44">
        <v>12</v>
      </c>
      <c r="P34" s="44">
        <v>12</v>
      </c>
      <c r="Q34" s="44" t="s">
        <v>31</v>
      </c>
      <c r="R34" s="44">
        <v>12</v>
      </c>
      <c r="S34" s="44">
        <v>12</v>
      </c>
      <c r="T34" s="44">
        <v>12</v>
      </c>
      <c r="U34" s="44">
        <v>12</v>
      </c>
      <c r="V34" s="44">
        <v>12</v>
      </c>
      <c r="W34" s="69"/>
      <c r="X34" s="70" cm="1">
        <f t="array" ref="X34">SUMPRODUCT(--ISNUMBER(H34:W34),--($H$14:$W$14&lt;&gt;"LH"),--($H$14:$W$14&lt;&gt;"SH"))</f>
        <v>13</v>
      </c>
      <c r="Y34" s="44">
        <f t="shared" si="5"/>
        <v>104</v>
      </c>
      <c r="Z34" s="44"/>
      <c r="AA34" s="44">
        <f t="shared" si="6"/>
        <v>52</v>
      </c>
      <c r="AB34" s="44">
        <f t="shared" si="2"/>
        <v>0</v>
      </c>
      <c r="AC34" s="44"/>
      <c r="AD34" s="44">
        <f t="shared" si="3"/>
        <v>0</v>
      </c>
      <c r="AE34" s="78"/>
    </row>
    <row r="35" ht="24.95" customHeight="1" spans="2:31">
      <c r="B35" s="40">
        <f t="shared" si="4"/>
        <v>21</v>
      </c>
      <c r="C35" s="41" t="s">
        <v>77</v>
      </c>
      <c r="D35" s="41" t="s">
        <v>78</v>
      </c>
      <c r="E35" s="41" t="s">
        <v>45</v>
      </c>
      <c r="F35" s="41" t="s">
        <v>29</v>
      </c>
      <c r="G35" s="42" t="s">
        <v>30</v>
      </c>
      <c r="H35" s="43">
        <v>12</v>
      </c>
      <c r="I35" s="44">
        <v>12</v>
      </c>
      <c r="J35" s="44" t="s">
        <v>31</v>
      </c>
      <c r="K35" s="44">
        <v>12</v>
      </c>
      <c r="L35" s="44" t="s">
        <v>31</v>
      </c>
      <c r="M35" s="44">
        <v>12</v>
      </c>
      <c r="N35" s="44">
        <v>12</v>
      </c>
      <c r="O35" s="44">
        <v>12</v>
      </c>
      <c r="P35" s="44">
        <v>12</v>
      </c>
      <c r="Q35" s="44">
        <v>12</v>
      </c>
      <c r="R35" s="44">
        <v>12</v>
      </c>
      <c r="S35" s="44">
        <v>12</v>
      </c>
      <c r="T35" s="44">
        <v>12</v>
      </c>
      <c r="U35" s="44">
        <v>12</v>
      </c>
      <c r="V35" s="44">
        <v>12</v>
      </c>
      <c r="W35" s="69"/>
      <c r="X35" s="70" cm="1">
        <f t="array" ref="X35">SUMPRODUCT(--ISNUMBER(H35:W35),--($H$14:$W$14&lt;&gt;"LH"),--($H$14:$W$14&lt;&gt;"SH"))</f>
        <v>13</v>
      </c>
      <c r="Y35" s="44">
        <f t="shared" si="5"/>
        <v>104</v>
      </c>
      <c r="Z35" s="44"/>
      <c r="AA35" s="44">
        <f t="shared" si="6"/>
        <v>52</v>
      </c>
      <c r="AB35" s="44">
        <f t="shared" si="2"/>
        <v>0</v>
      </c>
      <c r="AC35" s="44"/>
      <c r="AD35" s="44">
        <f t="shared" si="3"/>
        <v>0</v>
      </c>
      <c r="AE35" s="78"/>
    </row>
    <row r="36" ht="24.95" customHeight="1" spans="2:31">
      <c r="B36" s="40">
        <f t="shared" si="4"/>
        <v>22</v>
      </c>
      <c r="C36" s="41" t="s">
        <v>79</v>
      </c>
      <c r="D36" s="41" t="s">
        <v>80</v>
      </c>
      <c r="E36" s="41" t="s">
        <v>45</v>
      </c>
      <c r="F36" s="41" t="s">
        <v>29</v>
      </c>
      <c r="G36" s="42" t="s">
        <v>30</v>
      </c>
      <c r="H36" s="43">
        <v>12</v>
      </c>
      <c r="I36" s="44">
        <v>12</v>
      </c>
      <c r="J36" s="44">
        <v>12</v>
      </c>
      <c r="K36" s="44">
        <v>12</v>
      </c>
      <c r="L36" s="44">
        <v>12</v>
      </c>
      <c r="M36" s="44" t="s">
        <v>31</v>
      </c>
      <c r="N36" s="44">
        <v>12</v>
      </c>
      <c r="O36" s="44">
        <v>12</v>
      </c>
      <c r="P36" s="44">
        <v>12</v>
      </c>
      <c r="Q36" s="44">
        <v>12</v>
      </c>
      <c r="R36" s="44">
        <v>12</v>
      </c>
      <c r="S36" s="44" t="s">
        <v>31</v>
      </c>
      <c r="T36" s="44">
        <v>12</v>
      </c>
      <c r="U36" s="44">
        <v>12</v>
      </c>
      <c r="V36" s="44">
        <v>12</v>
      </c>
      <c r="W36" s="69"/>
      <c r="X36" s="70" cm="1">
        <f t="array" ref="X36">SUMPRODUCT(--ISNUMBER(H36:W36),--($H$14:$W$14&lt;&gt;"LH"),--($H$14:$W$14&lt;&gt;"SH"))</f>
        <v>13</v>
      </c>
      <c r="Y36" s="44">
        <f t="shared" si="5"/>
        <v>104</v>
      </c>
      <c r="Z36" s="44"/>
      <c r="AA36" s="44">
        <f t="shared" si="6"/>
        <v>52</v>
      </c>
      <c r="AB36" s="44">
        <f t="shared" si="2"/>
        <v>0</v>
      </c>
      <c r="AC36" s="44"/>
      <c r="AD36" s="44">
        <f t="shared" si="3"/>
        <v>0</v>
      </c>
      <c r="AE36" s="78"/>
    </row>
    <row r="37" ht="24.95" customHeight="1" spans="2:31">
      <c r="B37" s="40">
        <f t="shared" si="4"/>
        <v>23</v>
      </c>
      <c r="C37" s="41" t="s">
        <v>81</v>
      </c>
      <c r="D37" s="41" t="s">
        <v>82</v>
      </c>
      <c r="E37" s="41" t="s">
        <v>45</v>
      </c>
      <c r="F37" s="41" t="s">
        <v>63</v>
      </c>
      <c r="G37" s="42" t="s">
        <v>64</v>
      </c>
      <c r="H37" s="43">
        <v>12</v>
      </c>
      <c r="I37" s="44" t="s">
        <v>31</v>
      </c>
      <c r="J37" s="44">
        <v>12</v>
      </c>
      <c r="K37" s="44">
        <v>12</v>
      </c>
      <c r="L37" s="44">
        <v>12</v>
      </c>
      <c r="M37" s="44">
        <v>12</v>
      </c>
      <c r="N37" s="44">
        <v>12</v>
      </c>
      <c r="O37" s="44">
        <v>12</v>
      </c>
      <c r="P37" s="44" t="s">
        <v>31</v>
      </c>
      <c r="Q37" s="44">
        <v>12</v>
      </c>
      <c r="R37" s="44">
        <v>12</v>
      </c>
      <c r="S37" s="44">
        <v>12</v>
      </c>
      <c r="T37" s="44">
        <v>12</v>
      </c>
      <c r="U37" s="44">
        <v>12</v>
      </c>
      <c r="V37" s="44">
        <v>12</v>
      </c>
      <c r="W37" s="69"/>
      <c r="X37" s="70" cm="1">
        <f t="array" ref="X37">SUMPRODUCT(--ISNUMBER(H37:W37),--($H$14:$W$14&lt;&gt;"LH"),--($H$14:$W$14&lt;&gt;"SH"))</f>
        <v>13</v>
      </c>
      <c r="Y37" s="44">
        <f t="shared" si="5"/>
        <v>104</v>
      </c>
      <c r="Z37" s="44"/>
      <c r="AA37" s="44">
        <f t="shared" si="6"/>
        <v>52</v>
      </c>
      <c r="AB37" s="44">
        <f t="shared" si="2"/>
        <v>0</v>
      </c>
      <c r="AC37" s="44"/>
      <c r="AD37" s="44">
        <f t="shared" si="3"/>
        <v>0</v>
      </c>
      <c r="AE37" s="44">
        <f>Y37</f>
        <v>104</v>
      </c>
    </row>
    <row r="38" ht="24.95" customHeight="1" spans="2:31">
      <c r="B38" s="40">
        <f t="shared" si="4"/>
        <v>24</v>
      </c>
      <c r="C38" s="41" t="s">
        <v>83</v>
      </c>
      <c r="D38" s="41" t="s">
        <v>84</v>
      </c>
      <c r="E38" s="41" t="s">
        <v>45</v>
      </c>
      <c r="F38" s="41" t="s">
        <v>29</v>
      </c>
      <c r="G38" s="42" t="s">
        <v>30</v>
      </c>
      <c r="H38" s="43">
        <v>12</v>
      </c>
      <c r="I38" s="44" t="s">
        <v>31</v>
      </c>
      <c r="J38" s="44">
        <v>12</v>
      </c>
      <c r="K38" s="44">
        <v>12</v>
      </c>
      <c r="L38" s="44">
        <v>12</v>
      </c>
      <c r="M38" s="44">
        <v>12</v>
      </c>
      <c r="N38" s="44">
        <v>12</v>
      </c>
      <c r="O38" s="44">
        <v>12</v>
      </c>
      <c r="P38" s="44" t="s">
        <v>31</v>
      </c>
      <c r="Q38" s="44">
        <v>12</v>
      </c>
      <c r="R38" s="44">
        <v>12</v>
      </c>
      <c r="S38" s="44">
        <v>12</v>
      </c>
      <c r="T38" s="44">
        <v>12</v>
      </c>
      <c r="U38" s="44">
        <v>12</v>
      </c>
      <c r="V38" s="44">
        <v>12</v>
      </c>
      <c r="W38" s="69"/>
      <c r="X38" s="70" cm="1">
        <f t="array" ref="X38">SUMPRODUCT(--ISNUMBER(H38:W38),--($H$14:$W$14&lt;&gt;"LH"),--($H$14:$W$14&lt;&gt;"SH"))</f>
        <v>13</v>
      </c>
      <c r="Y38" s="44">
        <f t="shared" si="5"/>
        <v>104</v>
      </c>
      <c r="Z38" s="44"/>
      <c r="AA38" s="44">
        <f t="shared" si="6"/>
        <v>52</v>
      </c>
      <c r="AB38" s="44">
        <f t="shared" si="2"/>
        <v>0</v>
      </c>
      <c r="AC38" s="44"/>
      <c r="AD38" s="44">
        <f t="shared" si="3"/>
        <v>0</v>
      </c>
      <c r="AE38" s="78"/>
    </row>
    <row r="39" ht="24.95" customHeight="1" spans="2:31">
      <c r="B39" s="40">
        <f t="shared" si="4"/>
        <v>25</v>
      </c>
      <c r="C39" s="41" t="s">
        <v>85</v>
      </c>
      <c r="D39" s="41" t="s">
        <v>86</v>
      </c>
      <c r="E39" s="41" t="s">
        <v>45</v>
      </c>
      <c r="F39" s="41" t="s">
        <v>63</v>
      </c>
      <c r="G39" s="42" t="s">
        <v>64</v>
      </c>
      <c r="H39" s="43" t="s">
        <v>31</v>
      </c>
      <c r="I39" s="44">
        <v>12</v>
      </c>
      <c r="J39" s="44">
        <v>12</v>
      </c>
      <c r="K39" s="44">
        <v>12</v>
      </c>
      <c r="L39" s="44">
        <v>12</v>
      </c>
      <c r="M39" s="44">
        <v>12</v>
      </c>
      <c r="N39" s="44">
        <v>12</v>
      </c>
      <c r="O39" s="44" t="s">
        <v>31</v>
      </c>
      <c r="P39" s="44">
        <v>12</v>
      </c>
      <c r="Q39" s="44">
        <v>12</v>
      </c>
      <c r="R39" s="44">
        <v>12</v>
      </c>
      <c r="S39" s="44">
        <v>12</v>
      </c>
      <c r="T39" s="44">
        <v>12</v>
      </c>
      <c r="U39" s="44">
        <v>12</v>
      </c>
      <c r="V39" s="44" t="s">
        <v>31</v>
      </c>
      <c r="W39" s="69"/>
      <c r="X39" s="70" cm="1">
        <f t="array" ref="X39">SUMPRODUCT(--ISNUMBER(H39:W39),--($H$14:$W$14&lt;&gt;"LH"),--($H$14:$W$14&lt;&gt;"SH"))</f>
        <v>12</v>
      </c>
      <c r="Y39" s="44">
        <f t="shared" si="5"/>
        <v>96</v>
      </c>
      <c r="Z39" s="44"/>
      <c r="AA39" s="44">
        <f t="shared" si="6"/>
        <v>48</v>
      </c>
      <c r="AB39" s="44">
        <f t="shared" si="2"/>
        <v>0</v>
      </c>
      <c r="AC39" s="44"/>
      <c r="AD39" s="44">
        <f t="shared" si="3"/>
        <v>0</v>
      </c>
      <c r="AE39" s="44">
        <f>Y39</f>
        <v>96</v>
      </c>
    </row>
    <row r="40" ht="24.95" customHeight="1" spans="2:31">
      <c r="B40" s="40">
        <f t="shared" si="4"/>
        <v>26</v>
      </c>
      <c r="C40" s="41" t="s">
        <v>87</v>
      </c>
      <c r="D40" s="41" t="s">
        <v>88</v>
      </c>
      <c r="E40" s="41" t="s">
        <v>56</v>
      </c>
      <c r="F40" s="41" t="s">
        <v>29</v>
      </c>
      <c r="G40" s="42" t="s">
        <v>30</v>
      </c>
      <c r="H40" s="43">
        <v>12</v>
      </c>
      <c r="I40" s="44">
        <v>12</v>
      </c>
      <c r="J40" s="44">
        <v>12</v>
      </c>
      <c r="K40" s="44">
        <v>12</v>
      </c>
      <c r="L40" s="44" t="s">
        <v>31</v>
      </c>
      <c r="M40" s="44">
        <v>12</v>
      </c>
      <c r="N40" s="44">
        <v>12</v>
      </c>
      <c r="O40" s="44">
        <v>12</v>
      </c>
      <c r="P40" s="44">
        <v>12</v>
      </c>
      <c r="Q40" s="44">
        <v>12</v>
      </c>
      <c r="R40" s="44" t="s">
        <v>31</v>
      </c>
      <c r="S40" s="44">
        <v>12</v>
      </c>
      <c r="T40" s="44">
        <v>12</v>
      </c>
      <c r="U40" s="44">
        <v>12</v>
      </c>
      <c r="V40" s="44">
        <v>12</v>
      </c>
      <c r="W40" s="69"/>
      <c r="X40" s="70" cm="1">
        <f t="array" ref="X40">SUMPRODUCT(--ISNUMBER(H40:W40),--($H$14:$W$14&lt;&gt;"LH"),--($H$14:$W$14&lt;&gt;"SH"))</f>
        <v>13</v>
      </c>
      <c r="Y40" s="44">
        <f t="shared" si="5"/>
        <v>104</v>
      </c>
      <c r="Z40" s="44"/>
      <c r="AA40" s="44">
        <f t="shared" si="6"/>
        <v>52</v>
      </c>
      <c r="AB40" s="44">
        <f t="shared" si="2"/>
        <v>0</v>
      </c>
      <c r="AC40" s="44"/>
      <c r="AD40" s="44">
        <f t="shared" si="3"/>
        <v>0</v>
      </c>
      <c r="AE40" s="78"/>
    </row>
    <row r="41" ht="24.95" customHeight="1" spans="2:31">
      <c r="B41" s="40">
        <f t="shared" si="4"/>
        <v>27</v>
      </c>
      <c r="C41" s="41"/>
      <c r="D41" s="41"/>
      <c r="E41" s="41"/>
      <c r="F41" s="41"/>
      <c r="G41" s="42"/>
      <c r="H41" s="43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69"/>
      <c r="X41" s="70" cm="1">
        <f t="array" ref="X41">SUMPRODUCT(--ISNUMBER(H41:W41),--($H$14:$W$14&lt;&gt;"LH"),--($H$14:$W$14&lt;&gt;"SH"))</f>
        <v>0</v>
      </c>
      <c r="Y41" s="44">
        <f t="shared" si="5"/>
        <v>0</v>
      </c>
      <c r="Z41" s="44"/>
      <c r="AA41" s="44">
        <f t="shared" si="6"/>
        <v>0</v>
      </c>
      <c r="AB41" s="44">
        <f t="shared" si="2"/>
        <v>0</v>
      </c>
      <c r="AC41" s="44"/>
      <c r="AD41" s="44">
        <f t="shared" si="3"/>
        <v>0</v>
      </c>
      <c r="AE41" s="78"/>
    </row>
    <row r="42" ht="24.95" customHeight="1" spans="2:31">
      <c r="B42" s="40">
        <f t="shared" si="4"/>
        <v>28</v>
      </c>
      <c r="C42" s="41"/>
      <c r="D42" s="41"/>
      <c r="E42" s="41"/>
      <c r="F42" s="41"/>
      <c r="G42" s="42"/>
      <c r="H42" s="43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69"/>
      <c r="X42" s="70" cm="1">
        <f t="array" ref="X42">SUMPRODUCT(--ISNUMBER(H42:W42),--($H$14:$W$14&lt;&gt;"LH"),--($H$14:$W$14&lt;&gt;"SH"))</f>
        <v>0</v>
      </c>
      <c r="Y42" s="44">
        <f t="shared" si="5"/>
        <v>0</v>
      </c>
      <c r="Z42" s="44"/>
      <c r="AA42" s="44">
        <f t="shared" si="6"/>
        <v>0</v>
      </c>
      <c r="AB42" s="44">
        <f t="shared" si="2"/>
        <v>0</v>
      </c>
      <c r="AC42" s="44"/>
      <c r="AD42" s="44">
        <f t="shared" si="3"/>
        <v>0</v>
      </c>
      <c r="AE42" s="78"/>
    </row>
    <row r="43" ht="24.95" customHeight="1" spans="2:31">
      <c r="B43" s="40">
        <f t="shared" si="4"/>
        <v>29</v>
      </c>
      <c r="C43" s="41"/>
      <c r="D43" s="41"/>
      <c r="E43" s="41"/>
      <c r="F43" s="41"/>
      <c r="G43" s="42"/>
      <c r="H43" s="43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69"/>
      <c r="X43" s="70" cm="1">
        <f t="array" ref="X43">SUMPRODUCT(--ISNUMBER(H43:W43),--($H$14:$W$14&lt;&gt;"LH"),--($H$14:$W$14&lt;&gt;"SH"))</f>
        <v>0</v>
      </c>
      <c r="Y43" s="44">
        <f t="shared" si="5"/>
        <v>0</v>
      </c>
      <c r="Z43" s="44"/>
      <c r="AA43" s="44">
        <f t="shared" si="6"/>
        <v>0</v>
      </c>
      <c r="AB43" s="44">
        <f t="shared" si="2"/>
        <v>0</v>
      </c>
      <c r="AC43" s="44"/>
      <c r="AD43" s="44">
        <f t="shared" si="3"/>
        <v>0</v>
      </c>
      <c r="AE43" s="78"/>
    </row>
    <row r="44" ht="24.95" customHeight="1" spans="2:31">
      <c r="B44" s="40">
        <f t="shared" si="4"/>
        <v>30</v>
      </c>
      <c r="C44" s="41"/>
      <c r="D44" s="41"/>
      <c r="E44" s="41"/>
      <c r="F44" s="41"/>
      <c r="G44" s="42"/>
      <c r="H44" s="43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69"/>
      <c r="X44" s="70" cm="1">
        <f t="array" ref="X44">SUMPRODUCT(--ISNUMBER(H44:W44),--($H$14:$W$14&lt;&gt;"LH"),--($H$14:$W$14&lt;&gt;"SH"))</f>
        <v>0</v>
      </c>
      <c r="Y44" s="44">
        <f t="shared" si="5"/>
        <v>0</v>
      </c>
      <c r="Z44" s="44"/>
      <c r="AA44" s="44">
        <f t="shared" si="6"/>
        <v>0</v>
      </c>
      <c r="AB44" s="44">
        <f t="shared" si="2"/>
        <v>0</v>
      </c>
      <c r="AC44" s="44"/>
      <c r="AD44" s="44">
        <f t="shared" si="3"/>
        <v>0</v>
      </c>
      <c r="AE44" s="78"/>
    </row>
    <row r="45" ht="24.95" customHeight="1" spans="2:31">
      <c r="B45" s="40">
        <f t="shared" si="4"/>
        <v>31</v>
      </c>
      <c r="C45" s="41"/>
      <c r="D45" s="41"/>
      <c r="E45" s="41"/>
      <c r="F45" s="41"/>
      <c r="G45" s="42"/>
      <c r="H45" s="43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69"/>
      <c r="X45" s="70" cm="1">
        <f t="array" ref="X45">SUMPRODUCT(--ISNUMBER(H45:W45),--($H$14:$W$14&lt;&gt;"LH"),--($H$14:$W$14&lt;&gt;"SH"))</f>
        <v>0</v>
      </c>
      <c r="Y45" s="44">
        <f t="shared" si="5"/>
        <v>0</v>
      </c>
      <c r="Z45" s="44"/>
      <c r="AA45" s="44">
        <f t="shared" si="6"/>
        <v>0</v>
      </c>
      <c r="AB45" s="44">
        <f t="shared" si="2"/>
        <v>0</v>
      </c>
      <c r="AC45" s="44"/>
      <c r="AD45" s="44">
        <f t="shared" si="3"/>
        <v>0</v>
      </c>
      <c r="AE45" s="78"/>
    </row>
    <row r="46" ht="24.95" customHeight="1" spans="2:31">
      <c r="B46" s="40">
        <f t="shared" si="4"/>
        <v>32</v>
      </c>
      <c r="C46" s="41"/>
      <c r="D46" s="41"/>
      <c r="E46" s="41"/>
      <c r="F46" s="41"/>
      <c r="G46" s="42"/>
      <c r="H46" s="43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69"/>
      <c r="X46" s="70" cm="1">
        <f t="array" ref="X46">SUMPRODUCT(--ISNUMBER(H46:W46),--($H$14:$W$14&lt;&gt;"LH"),--($H$14:$W$14&lt;&gt;"SH"))</f>
        <v>0</v>
      </c>
      <c r="Y46" s="44">
        <f t="shared" si="5"/>
        <v>0</v>
      </c>
      <c r="Z46" s="44"/>
      <c r="AA46" s="44">
        <f t="shared" si="6"/>
        <v>0</v>
      </c>
      <c r="AB46" s="44">
        <f t="shared" si="2"/>
        <v>0</v>
      </c>
      <c r="AC46" s="44"/>
      <c r="AD46" s="44">
        <f t="shared" si="3"/>
        <v>0</v>
      </c>
      <c r="AE46" s="78"/>
    </row>
    <row r="47" ht="22.5" customHeight="1" spans="2:31">
      <c r="B47" s="44"/>
      <c r="C47" s="41"/>
      <c r="D47" s="41"/>
      <c r="E47" s="45" t="s">
        <v>89</v>
      </c>
      <c r="F47" s="46"/>
      <c r="G47" s="45">
        <f>SUM($H47:$W47)</f>
        <v>337</v>
      </c>
      <c r="H47" s="47">
        <f t="shared" ref="H47:W47" si="7">COUNT(H15:H46)</f>
        <v>22</v>
      </c>
      <c r="I47" s="47">
        <f t="shared" si="7"/>
        <v>22</v>
      </c>
      <c r="J47" s="47">
        <f t="shared" si="7"/>
        <v>23</v>
      </c>
      <c r="K47" s="47">
        <f t="shared" si="7"/>
        <v>25</v>
      </c>
      <c r="L47" s="47">
        <f t="shared" si="7"/>
        <v>19</v>
      </c>
      <c r="M47" s="47">
        <f t="shared" si="7"/>
        <v>21</v>
      </c>
      <c r="N47" s="47">
        <f t="shared" si="7"/>
        <v>22</v>
      </c>
      <c r="O47" s="47">
        <f t="shared" si="7"/>
        <v>23</v>
      </c>
      <c r="P47" s="47">
        <f t="shared" si="7"/>
        <v>22</v>
      </c>
      <c r="Q47" s="47">
        <f t="shared" si="7"/>
        <v>25</v>
      </c>
      <c r="R47" s="47">
        <f t="shared" si="7"/>
        <v>23</v>
      </c>
      <c r="S47" s="47">
        <f t="shared" si="7"/>
        <v>23</v>
      </c>
      <c r="T47" s="47">
        <f t="shared" si="7"/>
        <v>23</v>
      </c>
      <c r="U47" s="47">
        <f t="shared" si="7"/>
        <v>22</v>
      </c>
      <c r="V47" s="47">
        <f t="shared" si="7"/>
        <v>22</v>
      </c>
      <c r="W47" s="47">
        <f t="shared" si="7"/>
        <v>0</v>
      </c>
      <c r="X47" s="71">
        <f t="shared" ref="X47:AE47" si="8">SUM(X15:X46)</f>
        <v>337</v>
      </c>
      <c r="Y47" s="79">
        <f t="shared" si="8"/>
        <v>2696</v>
      </c>
      <c r="Z47" s="79">
        <f t="shared" si="8"/>
        <v>0</v>
      </c>
      <c r="AA47" s="79">
        <f t="shared" si="8"/>
        <v>1348</v>
      </c>
      <c r="AB47" s="79">
        <f t="shared" si="8"/>
        <v>0</v>
      </c>
      <c r="AC47" s="79">
        <f t="shared" si="8"/>
        <v>0</v>
      </c>
      <c r="AD47" s="79">
        <f t="shared" si="8"/>
        <v>0</v>
      </c>
      <c r="AE47" s="79">
        <f t="shared" si="8"/>
        <v>304</v>
      </c>
    </row>
    <row r="49" ht="15.75" spans="2:31">
      <c r="B49" s="48" t="s">
        <v>90</v>
      </c>
      <c r="H49" s="49" t="s">
        <v>91</v>
      </c>
      <c r="I49" s="49"/>
      <c r="J49" s="49"/>
      <c r="K49" s="49"/>
      <c r="R49" s="49" t="s">
        <v>92</v>
      </c>
      <c r="S49" s="49"/>
      <c r="T49" s="49"/>
      <c r="U49" s="49"/>
      <c r="Z49" s="80"/>
      <c r="AA49" s="55" t="s">
        <v>93</v>
      </c>
      <c r="AB49" s="81"/>
      <c r="AC49" s="82"/>
      <c r="AD49" s="83"/>
      <c r="AE49" s="80"/>
    </row>
    <row r="50" ht="15" spans="21:31">
      <c r="U50" s="56"/>
      <c r="Z50" s="83"/>
      <c r="AA50" s="57" t="s">
        <v>94</v>
      </c>
      <c r="AB50" s="84"/>
      <c r="AC50" s="85"/>
      <c r="AD50" s="83"/>
      <c r="AE50" s="56"/>
    </row>
    <row r="51" ht="15" spans="21:31">
      <c r="U51" s="56"/>
      <c r="Z51" s="83"/>
      <c r="AA51" s="57" t="s">
        <v>95</v>
      </c>
      <c r="AB51" s="84"/>
      <c r="AC51" s="85"/>
      <c r="AD51" s="83"/>
      <c r="AE51" s="56"/>
    </row>
    <row r="52" ht="15" spans="2:31">
      <c r="B52" s="50"/>
      <c r="C52" s="50"/>
      <c r="D52" s="50"/>
      <c r="E52" s="51"/>
      <c r="F52" s="51"/>
      <c r="G52" s="51"/>
      <c r="H52" s="50"/>
      <c r="I52" s="50"/>
      <c r="J52" s="50"/>
      <c r="K52" s="50"/>
      <c r="L52" s="50"/>
      <c r="M52" s="50"/>
      <c r="N52" s="50"/>
      <c r="O52" s="62"/>
      <c r="P52" s="62"/>
      <c r="Q52" s="62"/>
      <c r="R52" s="50"/>
      <c r="S52" s="50"/>
      <c r="T52" s="50"/>
      <c r="U52" s="50"/>
      <c r="V52" s="50"/>
      <c r="W52" s="50"/>
      <c r="X52" s="50"/>
      <c r="Z52" s="83"/>
      <c r="AA52" s="57" t="s">
        <v>96</v>
      </c>
      <c r="AB52" s="84"/>
      <c r="AC52" s="85"/>
      <c r="AD52" s="83"/>
      <c r="AE52" s="56"/>
    </row>
    <row r="53" ht="15.75" customHeight="1" spans="2:31">
      <c r="B53" s="52" t="s">
        <v>28</v>
      </c>
      <c r="C53" s="52"/>
      <c r="D53" s="52"/>
      <c r="H53" s="53" t="s">
        <v>97</v>
      </c>
      <c r="I53" s="53"/>
      <c r="J53" s="53"/>
      <c r="K53" s="53"/>
      <c r="L53" s="53"/>
      <c r="M53" s="53"/>
      <c r="N53" s="53"/>
      <c r="O53" s="21"/>
      <c r="P53" s="21"/>
      <c r="Q53" s="21"/>
      <c r="R53" s="53" t="s">
        <v>98</v>
      </c>
      <c r="S53" s="53"/>
      <c r="T53" s="53"/>
      <c r="U53" s="53"/>
      <c r="V53" s="53"/>
      <c r="W53" s="53"/>
      <c r="X53" s="53"/>
      <c r="Z53" s="83"/>
      <c r="AA53" s="57" t="s">
        <v>99</v>
      </c>
      <c r="AB53" s="57"/>
      <c r="AC53" s="83"/>
      <c r="AD53" s="83"/>
      <c r="AE53" s="56"/>
    </row>
    <row r="54" ht="15" spans="21:31">
      <c r="U54" s="56"/>
      <c r="Z54" s="83"/>
      <c r="AA54" s="57" t="s">
        <v>100</v>
      </c>
      <c r="AB54" s="84"/>
      <c r="AC54" s="85"/>
      <c r="AD54" s="83"/>
      <c r="AE54" s="56"/>
    </row>
    <row r="55" ht="15" spans="21:31">
      <c r="U55" s="56"/>
      <c r="Z55" s="83"/>
      <c r="AA55" s="57" t="s">
        <v>101</v>
      </c>
      <c r="AB55" s="57"/>
      <c r="AC55" s="83"/>
      <c r="AD55" s="83"/>
      <c r="AE55" s="56"/>
    </row>
    <row r="56" ht="15.75" spans="2:31">
      <c r="B56" s="54"/>
      <c r="C56" s="54"/>
      <c r="D56" s="54"/>
      <c r="E56" s="54"/>
      <c r="F56" s="54"/>
      <c r="G56" s="54"/>
      <c r="H56" s="54"/>
      <c r="I56" s="56"/>
      <c r="J56" s="56"/>
      <c r="K56" s="54"/>
      <c r="L56" s="54"/>
      <c r="M56" s="56"/>
      <c r="U56" s="57"/>
      <c r="Z56" s="83"/>
      <c r="AA56" s="57" t="s">
        <v>102</v>
      </c>
      <c r="AB56" s="57"/>
      <c r="AC56" s="83"/>
      <c r="AD56" s="83"/>
      <c r="AE56" s="56"/>
    </row>
    <row r="57" ht="15.75" spans="2:31">
      <c r="B57" s="54" t="s">
        <v>103</v>
      </c>
      <c r="C57" s="55"/>
      <c r="D57" s="55"/>
      <c r="E57" s="55"/>
      <c r="F57" s="55"/>
      <c r="G57" s="55"/>
      <c r="H57" s="55"/>
      <c r="I57" s="55"/>
      <c r="J57" s="57"/>
      <c r="K57" s="57"/>
      <c r="L57" s="55"/>
      <c r="M57" s="55"/>
      <c r="N57" s="56"/>
      <c r="O57" s="54"/>
      <c r="U57" s="56"/>
      <c r="Z57" s="83"/>
      <c r="AA57" s="86" t="s">
        <v>104</v>
      </c>
      <c r="AB57" s="87"/>
      <c r="AC57" s="88"/>
      <c r="AD57" s="83"/>
      <c r="AE57" s="56"/>
    </row>
    <row r="58" ht="15.75" spans="2:31">
      <c r="B58" s="56"/>
      <c r="C58" s="55"/>
      <c r="D58" s="57"/>
      <c r="E58" s="57"/>
      <c r="F58" s="57"/>
      <c r="G58" s="57"/>
      <c r="H58" s="57"/>
      <c r="I58" s="57"/>
      <c r="J58" s="57"/>
      <c r="K58" s="57"/>
      <c r="L58" s="55"/>
      <c r="M58" s="55"/>
      <c r="N58" s="56"/>
      <c r="O58" s="54"/>
      <c r="U58" s="56"/>
      <c r="Z58" s="83"/>
      <c r="AA58" s="86" t="s">
        <v>105</v>
      </c>
      <c r="AB58" s="87"/>
      <c r="AC58" s="88"/>
      <c r="AD58" s="88"/>
      <c r="AE58" s="56"/>
    </row>
    <row r="59" ht="15.75" spans="2:31">
      <c r="B59" s="56"/>
      <c r="C59" s="55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6"/>
      <c r="O59" s="54"/>
      <c r="U59" s="56"/>
      <c r="Z59" s="83"/>
      <c r="AA59" s="57" t="s">
        <v>106</v>
      </c>
      <c r="AB59" s="84"/>
      <c r="AC59" s="85"/>
      <c r="AE59" s="56"/>
    </row>
    <row r="60" ht="15" spans="21:31">
      <c r="U60" s="56"/>
      <c r="Z60" s="88"/>
      <c r="AA60" s="57" t="s">
        <v>107</v>
      </c>
      <c r="AB60" s="57"/>
      <c r="AC60" s="83"/>
      <c r="AE60" s="89"/>
    </row>
    <row r="61" ht="15" spans="2:31">
      <c r="B61" s="48"/>
      <c r="C61" s="48"/>
      <c r="D61" s="48"/>
      <c r="E61" s="48"/>
      <c r="F61" s="48"/>
      <c r="G61" s="48"/>
      <c r="H61" s="48"/>
      <c r="I61" s="48"/>
      <c r="U61" s="72"/>
      <c r="Z61" s="88"/>
      <c r="AD61" s="88"/>
      <c r="AE61" s="89"/>
    </row>
    <row r="62" ht="15" spans="21:31">
      <c r="U62" s="72"/>
      <c r="Z62" s="88"/>
      <c r="AD62" s="88"/>
      <c r="AE62" s="89"/>
    </row>
  </sheetData>
  <sheetProtection sheet="1" selectLockedCells="1" formatCells="0" formatRows="0" insertRows="0" deleteRows="0"/>
  <mergeCells count="29">
    <mergeCell ref="C6:AE6"/>
    <mergeCell ref="C8:F8"/>
    <mergeCell ref="D9:E9"/>
    <mergeCell ref="D10:E10"/>
    <mergeCell ref="E47:F47"/>
    <mergeCell ref="H49:K49"/>
    <mergeCell ref="R49:U49"/>
    <mergeCell ref="B52:D52"/>
    <mergeCell ref="H52:N52"/>
    <mergeCell ref="R52:X52"/>
    <mergeCell ref="B53:D53"/>
    <mergeCell ref="H53:N53"/>
    <mergeCell ref="R53:X53"/>
    <mergeCell ref="B12:B14"/>
    <mergeCell ref="C12:C14"/>
    <mergeCell ref="D12:D14"/>
    <mergeCell ref="E12:E14"/>
    <mergeCell ref="F12:F14"/>
    <mergeCell ref="G12:G14"/>
    <mergeCell ref="X13:X14"/>
    <mergeCell ref="Y13:Y14"/>
    <mergeCell ref="Z13:Z14"/>
    <mergeCell ref="AA13:AA14"/>
    <mergeCell ref="AB13:AB14"/>
    <mergeCell ref="AC13:AC14"/>
    <mergeCell ref="AD13:AD14"/>
    <mergeCell ref="AE12:AE14"/>
    <mergeCell ref="C2:AE3"/>
    <mergeCell ref="C4:AE5"/>
  </mergeCells>
  <conditionalFormatting sqref="H12:W12">
    <cfRule type="expression" priority="31">
      <formula>TEXT($D$9+COLUMN()-COLUMN($H$12),"ddd")="Sun"</formula>
    </cfRule>
    <cfRule type="expression" dxfId="0" priority="32">
      <formula>TEXT($D$9+COLUMN()-COLUMN($H$12),"ddd")="Sun"</formula>
    </cfRule>
  </conditionalFormatting>
  <conditionalFormatting sqref="H14:W14">
    <cfRule type="containsBlanks" dxfId="1" priority="5">
      <formula>LEN(TRIM(H14))=0</formula>
    </cfRule>
    <cfRule type="expression" dxfId="2" priority="6">
      <formula>EXACT(H14,"S")</formula>
    </cfRule>
    <cfRule type="expression" dxfId="3" priority="7">
      <formula>EXACT(H14,"R")</formula>
    </cfRule>
    <cfRule type="expression" dxfId="4" priority="8">
      <formula>EXACT(H14,"T")</formula>
    </cfRule>
    <cfRule type="containsText" dxfId="5" priority="9" operator="between" text="SH">
      <formula>NOT(ISERROR(SEARCH("SH",H14)))</formula>
    </cfRule>
    <cfRule type="expression" dxfId="6" priority="10">
      <formula>EXACT(H14,"RS")</formula>
    </cfRule>
    <cfRule type="containsText" dxfId="7" priority="11" operator="between" text="LH">
      <formula>NOT(ISERROR(SEARCH("LH",H14)))</formula>
    </cfRule>
    <cfRule type="expression" dxfId="8" priority="12">
      <formula>EXACT(H14,"LR")</formula>
    </cfRule>
    <cfRule type="expression" dxfId="0" priority="13">
      <formula>EXACT(H14,"L")</formula>
    </cfRule>
    <cfRule type="expression" dxfId="9" priority="14">
      <formula>EXACT(H14,"D")</formula>
    </cfRule>
    <cfRule type="expression" dxfId="10" priority="15">
      <formula>EXACT(H14,"A")</formula>
    </cfRule>
  </conditionalFormatting>
  <conditionalFormatting sqref="H15:W15">
    <cfRule type="containsBlanks" dxfId="11" priority="16">
      <formula>LEN(TRIM(H15))=0</formula>
    </cfRule>
  </conditionalFormatting>
  <conditionalFormatting sqref="H15:AE40 C41:AE46">
    <cfRule type="containsBlanks" dxfId="11" priority="34">
      <formula>LEN(TRIM(C15))=0</formula>
    </cfRule>
  </conditionalFormatting>
  <conditionalFormatting sqref="C15:G40">
    <cfRule type="containsBlanks" dxfId="11" priority="1">
      <formula>LEN(TRIM(C15))=0</formula>
    </cfRule>
  </conditionalFormatting>
  <conditionalFormatting sqref="H15:W46">
    <cfRule type="containsText" dxfId="12" priority="2" stopIfTrue="1" operator="between" text="9:24">
      <formula>NOT(ISERROR(SEARCH("9:24",H15)))</formula>
    </cfRule>
    <cfRule type="expression" dxfId="13" priority="3">
      <formula>H$14="LH"</formula>
    </cfRule>
    <cfRule type="expression" dxfId="14" priority="4" stopIfTrue="1">
      <formula>H$14="SH"</formula>
    </cfRule>
    <cfRule type="expression" dxfId="2" priority="19">
      <formula>EXACT(H15,"S")</formula>
    </cfRule>
    <cfRule type="expression" dxfId="3" priority="20">
      <formula>EXACT(H15,"R")</formula>
    </cfRule>
    <cfRule type="expression" dxfId="4" priority="21">
      <formula>EXACT(H15,"T")</formula>
    </cfRule>
    <cfRule type="containsText" dxfId="5" priority="23" operator="between" text="SH">
      <formula>NOT(ISERROR(SEARCH("SH",H15)))</formula>
    </cfRule>
    <cfRule type="expression" dxfId="15" priority="24">
      <formula>EXACT(H15,"RS")</formula>
    </cfRule>
    <cfRule type="containsText" dxfId="7" priority="26" operator="between" text="RH">
      <formula>NOT(ISERROR(SEARCH("RH",H15)))</formula>
    </cfRule>
    <cfRule type="expression" dxfId="8" priority="27">
      <formula>EXACT(H15,"LR")</formula>
    </cfRule>
    <cfRule type="expression" dxfId="0" priority="28">
      <formula>EXACT(H15,"L")</formula>
    </cfRule>
    <cfRule type="expression" dxfId="9" priority="29">
      <formula>EXACT(H15,"D")</formula>
    </cfRule>
    <cfRule type="expression" dxfId="10" priority="30">
      <formula>EXACT(H15,"A")</formula>
    </cfRule>
  </conditionalFormatting>
  <dataValidations count="2">
    <dataValidation type="list" allowBlank="1" showInputMessage="1" showErrorMessage="1" sqref="H14:W14">
      <formula1>"SH, LH"</formula1>
    </dataValidation>
    <dataValidation type="list" allowBlank="1" showInputMessage="1" showErrorMessage="1" sqref="H20:P20 R20:W20 H15:W19 H21:W46">
      <formula1>Sheet3!$A$2:$A$55</formula1>
    </dataValidation>
  </dataValidations>
  <pageMargins left="0" right="0" top="0" bottom="0.196850393700787" header="0" footer="0"/>
  <pageSetup paperSize="9" scale="49" fitToHeight="0" orientation="landscape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44"/>
  <sheetViews>
    <sheetView topLeftCell="A13" workbookViewId="0">
      <selection activeCell="A11" sqref="A11"/>
    </sheetView>
  </sheetViews>
  <sheetFormatPr defaultColWidth="9" defaultRowHeight="14.25"/>
  <cols>
    <col min="1" max="1" width="6.56666666666667" style="1" customWidth="1"/>
  </cols>
  <sheetData>
    <row r="2" spans="1:1">
      <c r="A2" s="1" t="s">
        <v>108</v>
      </c>
    </row>
    <row r="3" spans="1:1">
      <c r="A3" s="1" t="s">
        <v>31</v>
      </c>
    </row>
    <row r="4" spans="1:1">
      <c r="A4" s="1" t="s">
        <v>109</v>
      </c>
    </row>
    <row r="5" spans="1:1">
      <c r="A5" s="1" t="s">
        <v>110</v>
      </c>
    </row>
    <row r="6" spans="1:1">
      <c r="A6" s="1" t="s">
        <v>111</v>
      </c>
    </row>
    <row r="7" spans="1:1">
      <c r="A7" s="1" t="s">
        <v>112</v>
      </c>
    </row>
    <row r="8" spans="1:1">
      <c r="A8" s="1" t="s">
        <v>113</v>
      </c>
    </row>
    <row r="9" spans="1:1">
      <c r="A9" s="1" t="s">
        <v>114</v>
      </c>
    </row>
    <row r="10" spans="1:1">
      <c r="A10" s="1" t="s">
        <v>111</v>
      </c>
    </row>
    <row r="11" spans="1:1">
      <c r="A11" s="1" t="s">
        <v>115</v>
      </c>
    </row>
    <row r="12" spans="1:1">
      <c r="A12" s="1">
        <v>8</v>
      </c>
    </row>
    <row r="13" spans="1:1">
      <c r="A13" s="1">
        <v>8.5</v>
      </c>
    </row>
    <row r="14" spans="1:1">
      <c r="A14" s="1">
        <v>9</v>
      </c>
    </row>
    <row r="15" spans="1:1">
      <c r="A15" s="1">
        <v>9.5</v>
      </c>
    </row>
    <row r="16" spans="1:1">
      <c r="A16" s="1">
        <v>10</v>
      </c>
    </row>
    <row r="17" spans="1:1">
      <c r="A17" s="1">
        <v>10.5</v>
      </c>
    </row>
    <row r="18" spans="1:1">
      <c r="A18" s="1">
        <v>11</v>
      </c>
    </row>
    <row r="19" spans="1:1">
      <c r="A19" s="1">
        <v>11.5</v>
      </c>
    </row>
    <row r="20" spans="1:1">
      <c r="A20" s="1">
        <v>12</v>
      </c>
    </row>
    <row r="21" spans="1:1">
      <c r="A21" s="1">
        <v>12.5</v>
      </c>
    </row>
    <row r="22" spans="1:1">
      <c r="A22" s="1">
        <v>13</v>
      </c>
    </row>
    <row r="23" spans="1:1">
      <c r="A23" s="1">
        <v>13.5</v>
      </c>
    </row>
    <row r="24" spans="1:1">
      <c r="A24" s="1">
        <v>14</v>
      </c>
    </row>
    <row r="25" spans="1:1">
      <c r="A25" s="1">
        <v>14.5</v>
      </c>
    </row>
    <row r="26" spans="1:1">
      <c r="A26" s="1">
        <v>15</v>
      </c>
    </row>
    <row r="27" spans="1:1">
      <c r="A27" s="1">
        <v>15.5</v>
      </c>
    </row>
    <row r="28" spans="1:1">
      <c r="A28" s="1">
        <v>16</v>
      </c>
    </row>
    <row r="29" spans="1:1">
      <c r="A29" s="1">
        <v>16.5</v>
      </c>
    </row>
    <row r="30" spans="1:1">
      <c r="A30" s="1">
        <v>17</v>
      </c>
    </row>
    <row r="31" spans="1:1">
      <c r="A31" s="1">
        <v>17.5</v>
      </c>
    </row>
    <row r="32" spans="1:1">
      <c r="A32" s="1">
        <v>18</v>
      </c>
    </row>
    <row r="33" spans="1:1">
      <c r="A33" s="1">
        <v>18.5</v>
      </c>
    </row>
    <row r="34" spans="1:1">
      <c r="A34" s="1">
        <v>19</v>
      </c>
    </row>
    <row r="35" spans="1:1">
      <c r="A35" s="1">
        <v>19.5</v>
      </c>
    </row>
    <row r="36" spans="1:1">
      <c r="A36" s="1">
        <v>20</v>
      </c>
    </row>
    <row r="37" spans="1:1">
      <c r="A37" s="1">
        <v>20.5</v>
      </c>
    </row>
    <row r="38" spans="1:1">
      <c r="A38" s="1">
        <v>21</v>
      </c>
    </row>
    <row r="39" spans="1:1">
      <c r="A39" s="1">
        <v>21.5</v>
      </c>
    </row>
    <row r="40" spans="1:1">
      <c r="A40" s="1">
        <v>22</v>
      </c>
    </row>
    <row r="41" spans="1:1">
      <c r="A41" s="1">
        <v>22.5</v>
      </c>
    </row>
    <row r="42" spans="1:1">
      <c r="A42" s="1">
        <v>23</v>
      </c>
    </row>
    <row r="43" spans="1:1">
      <c r="A43" s="1">
        <v>23.5</v>
      </c>
    </row>
    <row r="44" spans="1:1">
      <c r="A44" s="1">
        <v>24</v>
      </c>
    </row>
  </sheetData>
  <sheetProtection algorithmName="SHA-512" hashValue="UdffzTML/P/5WtFveD3bxAOG7NDRxFzvfYvnxhfGaGOCpuemYlrTcO1RqxBx8wxJJZw+apeoYfPBMHtyKbAcLw==" saltValue="Gc34LdMlZFLB7m9J7QJWLg==" spinCount="100000"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 FORM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Ryan Borja</cp:lastModifiedBy>
  <dcterms:created xsi:type="dcterms:W3CDTF">2025-09-25T07:44:00Z</dcterms:created>
  <cp:lastPrinted>2025-10-01T07:40:00Z</cp:lastPrinted>
  <dcterms:modified xsi:type="dcterms:W3CDTF">2025-10-03T22:18:30Z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39F7F617C5994B569F6656D9217AFA3F_12</vt:lpwstr>
  </property>
  <property fmtid="{D5CDD505-2E9C-101B-9397-08002B2CF9AE}" pid="3" name="KSOProductBuildVer">
    <vt:lpwstr>1033-12.2.0.22549</vt:lpwstr>
  </property>
</Properties>
</file>