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UMMARY FORM" sheetId="1" r:id="rId1"/>
    <sheet name="Sheet3" sheetId="3" state="hidden" r:id="rId2"/>
  </sheets>
  <definedNames>
    <definedName name="_xlnm.Print_Area" localSheetId="0">'SUMMARY FORM'!$A$1:$AE$31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<sst xmlns="http://schemas.openxmlformats.org/spreadsheetml/2006/main" count="68" uniqueCount="65">
  <si>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PROFESSIONAL MAINTENANCE GROUP, INC.</t>
  </si>
  <si>
    <t xml:space="preserve">ATTENDANCE SUMMARY FORM </t>
  </si>
  <si>
    <t>OPS-FRM009-01-10012025</t>
  </si>
  <si>
    <t>PROJECT</t>
  </si>
  <si>
    <t xml:space="preserve">ONE BONIFACIO HIGH STREET </t>
  </si>
  <si>
    <t>OVERTIME FOR ANNUAL ELECTRICAL PREVENTIVE MAINTENANCE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</si>
  <si>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</si>
  <si>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</si>
  <si>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</si>
  <si>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</si>
  <si>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</si>
  <si>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</si>
  <si>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</si>
  <si>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</si>
  <si>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</si>
  <si>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</si>
  <si>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</si>
  <si>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</si>
  <si>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</si>
  <si>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</si>
  <si>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</si>
  <si>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</si>
  <si>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</si>
  <si>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</si>
  <si>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</si>
  <si>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</si>
  <si>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</si>
  <si>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CASTILLO, ALVIN</t>
  </si>
  <si>
    <t>PM01393</t>
  </si>
  <si>
    <t>TEAMLEADER</t>
  </si>
  <si>
    <t>CUARESMA, NORIFE</t>
  </si>
  <si>
    <t>PM02966</t>
  </si>
  <si>
    <t>HOUSEKEEPING</t>
  </si>
  <si>
    <t>ROSAL, RICHARD</t>
  </si>
  <si>
    <t>PM00662</t>
  </si>
  <si>
    <t>GARDENER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</si>
  <si>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</si>
  <si>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</si>
  <si>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</si>
  <si>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</si>
  <si>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</si>
  <si>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</si>
  <si>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</si>
  <si>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RICHARD BUSTARDE</t>
  </si>
  <si>
    <t>L = LEAVE</t>
  </si>
  <si>
    <t>SUPERVISOR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</si>
  <si>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</si>
  <si>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</si>
  <si>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</si>
  <si>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</si>
  <si>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</si>
  <si>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</si>
  <si>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</si>
  <si>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</si>
  <si>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</si>
  <si>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</si>
  <si>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</si>
  <si>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A</t>
  </si>
  <si>
    <t>D</t>
  </si>
  <si>
    <t>L</t>
  </si>
  <si>
    <t>LR</t>
  </si>
  <si>
    <t>RS</t>
  </si>
  <si>
    <t>T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</si>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</sst>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d\,\ yyyy"/>
  </numFmts>
  <fonts count="30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sz val="11"/>
      <color theme="1"/>
      <name val="Leelawadee"/>
      <charset val="134"/>
    </font>
    <font>
      <b/>
      <sz val="12"/>
      <name val="Leelawadee"/>
      <charset val="134"/>
    </font>
    <font>
      <sz val="12"/>
      <name val="Leelawadee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3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37" applyNumberFormat="0" applyAlignment="0" applyProtection="0">
      <alignment vertical="center"/>
    </xf>
    <xf numFmtId="0" fontId="20" fillId="6" borderId="38" applyNumberFormat="0" applyAlignment="0" applyProtection="0">
      <alignment vertical="center"/>
    </xf>
    <xf numFmtId="0" fontId="21" fillId="6" borderId="37" applyNumberFormat="0" applyAlignment="0" applyProtection="0">
      <alignment vertical="center"/>
    </xf>
    <xf numFmtId="0" fontId="22" fillId="7" borderId="39" applyNumberFormat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0" borderId="4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9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/>
    </xf>
    <xf numFmtId="178" fontId="4" fillId="2" borderId="15" xfId="0" applyNumberFormat="1" applyFont="1" applyFill="1" applyBorder="1" applyAlignment="1">
      <alignment horizontal="center" vertical="top" wrapText="1"/>
    </xf>
    <xf numFmtId="178" fontId="4" fillId="2" borderId="16" xfId="0" applyNumberFormat="1" applyFont="1" applyFill="1" applyBorder="1" applyAlignment="1">
      <alignment horizontal="center" vertical="top" wrapText="1"/>
    </xf>
    <xf numFmtId="178" fontId="4" fillId="2" borderId="0" xfId="0" applyNumberFormat="1" applyFont="1" applyFill="1" applyAlignment="1">
      <alignment horizontal="center" vertical="top" wrapText="1"/>
    </xf>
    <xf numFmtId="178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78" fontId="4" fillId="2" borderId="17" xfId="0" applyNumberFormat="1" applyFont="1" applyFill="1" applyBorder="1" applyAlignment="1">
      <alignment horizontal="center"/>
    </xf>
    <xf numFmtId="178" fontId="4" fillId="2" borderId="16" xfId="0" applyNumberFormat="1" applyFont="1" applyFill="1" applyBorder="1" applyAlignment="1">
      <alignment horizontal="center"/>
    </xf>
    <xf numFmtId="178" fontId="4" fillId="2" borderId="0" xfId="0" applyNumberFormat="1" applyFont="1" applyFill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7" fillId="2" borderId="0" xfId="0" applyFont="1" applyFill="1"/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center" vertical="center"/>
    </xf>
    <xf numFmtId="0" fontId="7" fillId="2" borderId="17" xfId="0" applyFont="1" applyFill="1" applyBorder="1"/>
    <xf numFmtId="0" fontId="4" fillId="2" borderId="17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5" tint="-0.249946592608417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ont>
        <b val="1"/>
        <i val="0"/>
        <color rgb="FFFF0000"/>
      </font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FF6161"/>
      <color rgb="00DEE165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91770"/>
          <a:ext cx="1498600" cy="100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>
      <xdr:nvSpPr>
        <xdr:cNvPr id="2" name="TextBox 1"/>
        <xdr:cNvSpPr txBox="1"/>
      </xdr:nvSpPr>
      <xdr:spPr>
        <a:xfrm>
          <a:off x="19316700" y="990600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>
      <xdr:nvSpPr>
        <xdr:cNvPr id="3" name="TextBox 2"/>
        <xdr:cNvSpPr txBox="1"/>
      </xdr:nvSpPr>
      <xdr:spPr>
        <a:xfrm>
          <a:off x="18401665" y="991235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E33"/>
  <sheetViews>
    <sheetView tabSelected="1" view="pageBreakPreview" zoomScale="44" zoomScaleNormal="70" workbookViewId="0">
      <selection activeCell="F16" sqref="F16"/>
    </sheetView>
  </sheetViews>
  <sheetFormatPr defaultColWidth="9" defaultRowHeight="14.25"/>
  <cols>
    <col min="1" max="1" width="4.14166666666667" style="2" customWidth="1"/>
    <col min="2" max="2" width="6.56666666666667" style="2" customWidth="1"/>
    <col min="3" max="3" width="25.5666666666667" style="2" customWidth="1"/>
    <col min="4" max="4" width="12" style="2" customWidth="1"/>
    <col min="5" max="5" width="17.7083333333333" style="2" customWidth="1"/>
    <col min="6" max="6" width="14.1416666666667" style="2" customWidth="1"/>
    <col min="7" max="7" width="12" style="2" customWidth="1"/>
    <col min="8" max="23" width="5.70833333333333" style="2" customWidth="1"/>
    <col min="24" max="30" width="10.425" style="3" customWidth="1"/>
    <col min="31" max="31" width="10.425" style="2" customWidth="1"/>
    <col min="32" max="16384" width="9.14166666666667" style="2"/>
  </cols>
  <sheetData>
    <row r="1" ht="15"/>
    <row r="2" ht="15.75" spans="2:31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4"/>
    </row>
    <row r="3" ht="15.75" spans="2:31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75"/>
    </row>
    <row r="4" ht="15.75" spans="2:31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76"/>
    </row>
    <row r="5" ht="15.75" spans="2:31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5"/>
    </row>
    <row r="6" ht="16.5" customHeight="1" spans="2:31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77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7" t="s">
        <v>5</v>
      </c>
      <c r="J8" s="21"/>
      <c r="K8" s="21"/>
      <c r="L8" s="21"/>
    </row>
    <row r="9" ht="15" customHeight="1" spans="3:11">
      <c r="C9" s="22" t="s">
        <v>6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7</v>
      </c>
      <c r="D10" s="28">
        <v>45930</v>
      </c>
      <c r="E10" s="28"/>
      <c r="F10" s="29"/>
      <c r="G10" s="30"/>
      <c r="H10" s="26"/>
      <c r="I10" s="26"/>
      <c r="J10" s="26"/>
      <c r="K10" s="26"/>
    </row>
    <row r="12" ht="21.75" customHeight="1" spans="2:31">
      <c r="B12" s="31" t="s">
        <v>8</v>
      </c>
      <c r="C12" s="31" t="s">
        <v>9</v>
      </c>
      <c r="D12" s="31" t="s">
        <v>10</v>
      </c>
      <c r="E12" s="31" t="s">
        <v>11</v>
      </c>
      <c r="F12" s="31" t="s">
        <v>12</v>
      </c>
      <c r="G12" s="32" t="s">
        <v>13</v>
      </c>
      <c r="H12" s="33" t="str">
        <f>IF(COLUMN()-COLUMN($H$12)&lt;=$D$10-$D9+1,TEXT($D$9+COLUMN()-COLUMN($H$12),"ddd"),"")</f>
        <v>Tue</v>
      </c>
      <c r="I12" s="58" t="str">
        <f t="shared" ref="I12:W12" si="0">IF(COLUMN()-COLUMN($H$12)&lt;=$D$10-$D9+1,TEXT($D$9+COLUMN()-COLUMN($H$12),"ddd"),"")</f>
        <v>Wed</v>
      </c>
      <c r="J12" s="58" t="str">
        <f t="shared" si="0"/>
        <v>Thu</v>
      </c>
      <c r="K12" s="58" t="str">
        <f t="shared" si="0"/>
        <v>Fri</v>
      </c>
      <c r="L12" s="58" t="str">
        <f t="shared" si="0"/>
        <v>Sat</v>
      </c>
      <c r="M12" s="58" t="str">
        <f t="shared" si="0"/>
        <v>Sun</v>
      </c>
      <c r="N12" s="58" t="str">
        <f t="shared" si="0"/>
        <v>Mon</v>
      </c>
      <c r="O12" s="58" t="str">
        <f t="shared" si="0"/>
        <v>Tue</v>
      </c>
      <c r="P12" s="58" t="str">
        <f t="shared" si="0"/>
        <v>Wed</v>
      </c>
      <c r="Q12" s="58" t="str">
        <f t="shared" si="0"/>
        <v>Thu</v>
      </c>
      <c r="R12" s="58" t="str">
        <f t="shared" si="0"/>
        <v>Fri</v>
      </c>
      <c r="S12" s="58" t="str">
        <f t="shared" si="0"/>
        <v>Sat</v>
      </c>
      <c r="T12" s="58" t="str">
        <f t="shared" si="0"/>
        <v>Sun</v>
      </c>
      <c r="U12" s="58" t="str">
        <f t="shared" si="0"/>
        <v>Mon</v>
      </c>
      <c r="V12" s="58" t="str">
        <f t="shared" si="0"/>
        <v>Tue</v>
      </c>
      <c r="W12" s="63" t="str">
        <f t="shared" si="0"/>
        <v>Wed</v>
      </c>
      <c r="X12" s="64" t="s">
        <v>14</v>
      </c>
      <c r="Y12" s="78" t="s">
        <v>14</v>
      </c>
      <c r="Z12" s="78" t="s">
        <v>15</v>
      </c>
      <c r="AA12" s="78" t="s">
        <v>16</v>
      </c>
      <c r="AB12" s="78" t="s">
        <v>17</v>
      </c>
      <c r="AC12" s="78" t="s">
        <v>18</v>
      </c>
      <c r="AD12" s="78" t="s">
        <v>19</v>
      </c>
      <c r="AE12" s="31" t="s">
        <v>20</v>
      </c>
    </row>
    <row r="13" ht="13.5" customHeight="1" spans="2:31">
      <c r="B13" s="34"/>
      <c r="C13" s="34"/>
      <c r="D13" s="34"/>
      <c r="E13" s="34"/>
      <c r="F13" s="34"/>
      <c r="G13" s="35"/>
      <c r="H13" s="36">
        <f t="shared" ref="H13:W13" si="1">IF(COLUMN()-COLUMN($H$13)&lt;=$D$10-$D$9+1,DAY($D$9+COLUMN()-COLUMN($H$13)),"")</f>
        <v>16</v>
      </c>
      <c r="I13" s="59">
        <f t="shared" si="1"/>
        <v>17</v>
      </c>
      <c r="J13" s="59">
        <f t="shared" si="1"/>
        <v>18</v>
      </c>
      <c r="K13" s="59">
        <f t="shared" si="1"/>
        <v>19</v>
      </c>
      <c r="L13" s="59">
        <f t="shared" si="1"/>
        <v>20</v>
      </c>
      <c r="M13" s="59">
        <f t="shared" si="1"/>
        <v>21</v>
      </c>
      <c r="N13" s="59">
        <f t="shared" si="1"/>
        <v>22</v>
      </c>
      <c r="O13" s="59">
        <f t="shared" si="1"/>
        <v>23</v>
      </c>
      <c r="P13" s="59">
        <f t="shared" si="1"/>
        <v>24</v>
      </c>
      <c r="Q13" s="59">
        <f t="shared" si="1"/>
        <v>25</v>
      </c>
      <c r="R13" s="59">
        <f t="shared" si="1"/>
        <v>26</v>
      </c>
      <c r="S13" s="59">
        <f t="shared" si="1"/>
        <v>27</v>
      </c>
      <c r="T13" s="59">
        <f t="shared" si="1"/>
        <v>28</v>
      </c>
      <c r="U13" s="59">
        <f t="shared" si="1"/>
        <v>29</v>
      </c>
      <c r="V13" s="59">
        <f t="shared" si="1"/>
        <v>30</v>
      </c>
      <c r="W13" s="65">
        <f t="shared" si="1"/>
        <v>1</v>
      </c>
      <c r="X13" s="66" t="s">
        <v>21</v>
      </c>
      <c r="Y13" s="31" t="s">
        <v>22</v>
      </c>
      <c r="Z13" s="31" t="s">
        <v>23</v>
      </c>
      <c r="AA13" s="31" t="s">
        <v>24</v>
      </c>
      <c r="AB13" s="31" t="s">
        <v>25</v>
      </c>
      <c r="AC13" s="31" t="s">
        <v>26</v>
      </c>
      <c r="AD13" s="31" t="s">
        <v>25</v>
      </c>
      <c r="AE13" s="34"/>
    </row>
    <row r="14" ht="11.25" customHeight="1" spans="2:31">
      <c r="B14" s="37"/>
      <c r="C14" s="37"/>
      <c r="D14" s="37"/>
      <c r="E14" s="37"/>
      <c r="F14" s="37"/>
      <c r="G14" s="38"/>
      <c r="H14" s="39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7"/>
      <c r="X14" s="68"/>
      <c r="Y14" s="37"/>
      <c r="Z14" s="37"/>
      <c r="AA14" s="37"/>
      <c r="AB14" s="37"/>
      <c r="AC14" s="37"/>
      <c r="AD14" s="37"/>
      <c r="AE14" s="37"/>
    </row>
    <row r="15" ht="24.95" customHeight="1" spans="2:31">
      <c r="B15" s="40">
        <f>ROW()-14</f>
        <v>1</v>
      </c>
      <c r="C15" s="41" t="s">
        <v>27</v>
      </c>
      <c r="D15" s="41" t="s">
        <v>28</v>
      </c>
      <c r="E15" s="42" t="s">
        <v>29</v>
      </c>
      <c r="F15" s="42"/>
      <c r="G15" s="43"/>
      <c r="H15" s="44"/>
      <c r="I15" s="45"/>
      <c r="J15" s="45"/>
      <c r="K15" s="45"/>
      <c r="L15" s="45"/>
      <c r="M15" s="45"/>
      <c r="N15" s="45"/>
      <c r="O15" s="45"/>
      <c r="P15" s="45"/>
      <c r="Q15" s="45">
        <v>9</v>
      </c>
      <c r="R15" s="45"/>
      <c r="S15" s="45"/>
      <c r="T15" s="45"/>
      <c r="U15" s="45"/>
      <c r="V15" s="45"/>
      <c r="W15" s="69"/>
      <c r="X15" s="70">
        <v>0</v>
      </c>
      <c r="Y15" s="45">
        <v>0</v>
      </c>
      <c r="Z15" s="45"/>
      <c r="AA15" s="45">
        <f>SUM(H15:W15)-AB15-AD15-Y15</f>
        <v>9</v>
      </c>
      <c r="AB15" s="45">
        <f>SUMIF($H$14:$W$14,"LH",$H15:$W15)</f>
        <v>0</v>
      </c>
      <c r="AC15" s="45"/>
      <c r="AD15" s="45">
        <f>SUMIF($H$14:$W$14,"SH",$H15:$W15)</f>
        <v>0</v>
      </c>
      <c r="AE15" s="79"/>
    </row>
    <row r="16" ht="24.95" customHeight="1" spans="2:31">
      <c r="B16" s="40">
        <f>ROW()-14</f>
        <v>2</v>
      </c>
      <c r="C16" s="41" t="s">
        <v>30</v>
      </c>
      <c r="D16" s="41" t="s">
        <v>31</v>
      </c>
      <c r="E16" s="42" t="s">
        <v>32</v>
      </c>
      <c r="F16" s="42"/>
      <c r="G16" s="43"/>
      <c r="H16" s="44"/>
      <c r="I16" s="45"/>
      <c r="J16" s="45"/>
      <c r="K16" s="45"/>
      <c r="L16" s="45"/>
      <c r="M16" s="45"/>
      <c r="N16" s="45"/>
      <c r="O16" s="45"/>
      <c r="P16" s="45"/>
      <c r="Q16" s="45">
        <v>9</v>
      </c>
      <c r="R16" s="45"/>
      <c r="S16" s="45"/>
      <c r="T16" s="45"/>
      <c r="U16" s="45"/>
      <c r="V16" s="45"/>
      <c r="W16" s="69"/>
      <c r="X16" s="70">
        <v>0</v>
      </c>
      <c r="Y16" s="45">
        <v>0</v>
      </c>
      <c r="Z16" s="45"/>
      <c r="AA16" s="45">
        <f>SUM(H16:W16)-AB16-AD16-Y16</f>
        <v>9</v>
      </c>
      <c r="AB16" s="45">
        <f>SUMIF($H$14:$W$14,"LH",$H16:$W16)</f>
        <v>0</v>
      </c>
      <c r="AC16" s="45"/>
      <c r="AD16" s="45">
        <f>SUMIF($H$14:$W$14,"SH",$H16:$W16)</f>
        <v>0</v>
      </c>
      <c r="AE16" s="79"/>
    </row>
    <row r="17" ht="24.95" customHeight="1" spans="2:31">
      <c r="B17" s="40">
        <v>3</v>
      </c>
      <c r="C17" s="42" t="s">
        <v>33</v>
      </c>
      <c r="D17" s="41" t="s">
        <v>34</v>
      </c>
      <c r="E17" s="42" t="s">
        <v>35</v>
      </c>
      <c r="F17" s="42"/>
      <c r="G17" s="43"/>
      <c r="H17" s="44"/>
      <c r="I17" s="45"/>
      <c r="J17" s="45"/>
      <c r="K17" s="45"/>
      <c r="L17" s="45"/>
      <c r="M17" s="45"/>
      <c r="N17" s="45"/>
      <c r="O17" s="45"/>
      <c r="P17" s="45"/>
      <c r="Q17" s="45">
        <v>9</v>
      </c>
      <c r="R17" s="45"/>
      <c r="S17" s="45"/>
      <c r="T17" s="45"/>
      <c r="U17" s="45"/>
      <c r="V17" s="45"/>
      <c r="W17" s="69"/>
      <c r="X17" s="70">
        <v>0</v>
      </c>
      <c r="Y17" s="45">
        <f>X17*8</f>
        <v>0</v>
      </c>
      <c r="Z17" s="45"/>
      <c r="AA17" s="45">
        <f>SUM(H17:W17)-AB17-AD17-Y17</f>
        <v>9</v>
      </c>
      <c r="AB17" s="45">
        <f>SUMIF($H$14:$W$14,"LH",$H17:$W17)</f>
        <v>0</v>
      </c>
      <c r="AC17" s="45"/>
      <c r="AD17" s="45">
        <f>SUMIF($H$14:$W$14,"SH",$H17:$W17)</f>
        <v>0</v>
      </c>
      <c r="AE17" s="79"/>
    </row>
    <row r="18" ht="22.5" customHeight="1" spans="2:31">
      <c r="B18" s="45"/>
      <c r="C18" s="42"/>
      <c r="D18" s="42"/>
      <c r="E18" s="18" t="s">
        <v>36</v>
      </c>
      <c r="F18" s="19"/>
      <c r="G18" s="18">
        <f>SUM(H18:W18)</f>
        <v>3</v>
      </c>
      <c r="H18" s="46">
        <f t="shared" ref="H18:W18" si="2">COUNTA(H15:H17)-COUNTIF(H15:H17,"A")-COUNTIF(H15:H17,"D")-COUNTIF(H15:H17,"L")</f>
        <v>0</v>
      </c>
      <c r="I18" s="61">
        <f t="shared" si="2"/>
        <v>0</v>
      </c>
      <c r="J18" s="61">
        <f t="shared" si="2"/>
        <v>0</v>
      </c>
      <c r="K18" s="61">
        <f t="shared" si="2"/>
        <v>0</v>
      </c>
      <c r="L18" s="61">
        <f t="shared" si="2"/>
        <v>0</v>
      </c>
      <c r="M18" s="61">
        <f t="shared" si="2"/>
        <v>0</v>
      </c>
      <c r="N18" s="61">
        <f t="shared" si="2"/>
        <v>0</v>
      </c>
      <c r="O18" s="61">
        <f t="shared" si="2"/>
        <v>0</v>
      </c>
      <c r="P18" s="61">
        <f t="shared" si="2"/>
        <v>0</v>
      </c>
      <c r="Q18" s="61">
        <f t="shared" si="2"/>
        <v>3</v>
      </c>
      <c r="R18" s="61">
        <f t="shared" si="2"/>
        <v>0</v>
      </c>
      <c r="S18" s="61">
        <f t="shared" si="2"/>
        <v>0</v>
      </c>
      <c r="T18" s="61">
        <f t="shared" si="2"/>
        <v>0</v>
      </c>
      <c r="U18" s="61">
        <f t="shared" si="2"/>
        <v>0</v>
      </c>
      <c r="V18" s="61">
        <f t="shared" si="2"/>
        <v>0</v>
      </c>
      <c r="W18" s="71">
        <f t="shared" si="2"/>
        <v>0</v>
      </c>
      <c r="X18" s="72">
        <f t="shared" ref="X18:AE18" si="3">SUM(X15:X17)</f>
        <v>0</v>
      </c>
      <c r="Y18" s="80">
        <f t="shared" si="3"/>
        <v>0</v>
      </c>
      <c r="Z18" s="80">
        <f t="shared" si="3"/>
        <v>0</v>
      </c>
      <c r="AA18" s="80">
        <f t="shared" si="3"/>
        <v>27</v>
      </c>
      <c r="AB18" s="80">
        <f t="shared" si="3"/>
        <v>0</v>
      </c>
      <c r="AC18" s="80">
        <f t="shared" si="3"/>
        <v>0</v>
      </c>
      <c r="AD18" s="80">
        <f t="shared" si="3"/>
        <v>0</v>
      </c>
      <c r="AE18" s="80">
        <f t="shared" si="3"/>
        <v>0</v>
      </c>
    </row>
    <row r="20" ht="15.75" spans="2:31">
      <c r="B20" s="47" t="s">
        <v>37</v>
      </c>
      <c r="H20" s="48" t="s">
        <v>38</v>
      </c>
      <c r="I20" s="48"/>
      <c r="J20" s="48"/>
      <c r="K20" s="48"/>
      <c r="R20" s="48" t="s">
        <v>39</v>
      </c>
      <c r="S20" s="48"/>
      <c r="T20" s="48"/>
      <c r="U20" s="48"/>
      <c r="Z20" s="81"/>
      <c r="AA20" s="54" t="s">
        <v>40</v>
      </c>
      <c r="AB20" s="82"/>
      <c r="AC20" s="83"/>
      <c r="AD20" s="84"/>
      <c r="AE20" s="81"/>
    </row>
    <row r="21" ht="15.75" spans="21:31">
      <c r="U21" s="55"/>
      <c r="Z21" s="84"/>
      <c r="AA21" s="56" t="s">
        <v>41</v>
      </c>
      <c r="AB21" s="85"/>
      <c r="AC21" s="86"/>
      <c r="AD21" s="84"/>
      <c r="AE21" s="55"/>
    </row>
    <row r="22" ht="15.75" spans="21:31">
      <c r="U22" s="55"/>
      <c r="Z22" s="84"/>
      <c r="AA22" s="56" t="s">
        <v>42</v>
      </c>
      <c r="AB22" s="85"/>
      <c r="AC22" s="86"/>
      <c r="AD22" s="84"/>
      <c r="AE22" s="55"/>
    </row>
    <row r="23" ht="15.75" spans="2:31">
      <c r="B23" s="49" t="s">
        <v>43</v>
      </c>
      <c r="C23" s="49"/>
      <c r="D23" s="49"/>
      <c r="E23" s="50"/>
      <c r="F23" s="50"/>
      <c r="G23" s="50"/>
      <c r="H23" s="49"/>
      <c r="I23" s="49"/>
      <c r="J23" s="49"/>
      <c r="K23" s="49"/>
      <c r="L23" s="49"/>
      <c r="M23" s="49"/>
      <c r="N23" s="49"/>
      <c r="O23" s="62"/>
      <c r="P23" s="62"/>
      <c r="Q23" s="62"/>
      <c r="R23" s="49"/>
      <c r="S23" s="49"/>
      <c r="T23" s="49"/>
      <c r="U23" s="49"/>
      <c r="V23" s="49"/>
      <c r="W23" s="49"/>
      <c r="X23" s="49"/>
      <c r="Z23" s="84"/>
      <c r="AA23" s="56" t="s">
        <v>44</v>
      </c>
      <c r="AB23" s="85"/>
      <c r="AC23" s="86"/>
      <c r="AD23" s="84"/>
      <c r="AE23" s="55"/>
    </row>
    <row r="24" ht="15.75" customHeight="1" spans="2:31">
      <c r="B24" s="51" t="s">
        <v>45</v>
      </c>
      <c r="C24" s="51"/>
      <c r="D24" s="51"/>
      <c r="H24" s="52" t="s">
        <v>46</v>
      </c>
      <c r="I24" s="52"/>
      <c r="J24" s="52"/>
      <c r="K24" s="52"/>
      <c r="L24" s="52"/>
      <c r="M24" s="52"/>
      <c r="N24" s="52"/>
      <c r="O24" s="21"/>
      <c r="P24" s="21"/>
      <c r="Q24" s="21"/>
      <c r="R24" s="52" t="s">
        <v>47</v>
      </c>
      <c r="S24" s="52"/>
      <c r="T24" s="52"/>
      <c r="U24" s="52"/>
      <c r="V24" s="52"/>
      <c r="W24" s="52"/>
      <c r="X24" s="52"/>
      <c r="Z24" s="84"/>
      <c r="AA24" s="56" t="s">
        <v>48</v>
      </c>
      <c r="AB24" s="56"/>
      <c r="AC24" s="84"/>
      <c r="AD24" s="84"/>
      <c r="AE24" s="55"/>
    </row>
    <row r="25" ht="15.75" spans="21:31">
      <c r="U25" s="55"/>
      <c r="Z25" s="84"/>
      <c r="AA25" s="56" t="s">
        <v>49</v>
      </c>
      <c r="AB25" s="85"/>
      <c r="AC25" s="86"/>
      <c r="AD25" s="84"/>
      <c r="AE25" s="55"/>
    </row>
    <row r="26" ht="15.75" spans="21:31">
      <c r="U26" s="55"/>
      <c r="Z26" s="84"/>
      <c r="AA26" s="56" t="s">
        <v>50</v>
      </c>
      <c r="AB26" s="85"/>
      <c r="AC26" s="86"/>
      <c r="AD26" s="84"/>
      <c r="AE26" s="55"/>
    </row>
    <row r="27" ht="15.75" spans="2:31">
      <c r="B27" s="53"/>
      <c r="C27" s="53"/>
      <c r="D27" s="53"/>
      <c r="E27" s="53"/>
      <c r="F27" s="53"/>
      <c r="G27" s="53"/>
      <c r="H27" s="53"/>
      <c r="I27" s="55"/>
      <c r="J27" s="55"/>
      <c r="K27" s="53"/>
      <c r="L27" s="53"/>
      <c r="M27" s="55"/>
      <c r="U27" s="56"/>
      <c r="Z27" s="84"/>
      <c r="AA27" s="56" t="s">
        <v>51</v>
      </c>
      <c r="AB27" s="56"/>
      <c r="AC27" s="84"/>
      <c r="AD27" s="84"/>
      <c r="AE27" s="55"/>
    </row>
    <row r="28" ht="15.75" spans="2:31">
      <c r="B28" s="53" t="s">
        <v>52</v>
      </c>
      <c r="C28" s="54"/>
      <c r="D28" s="54"/>
      <c r="E28" s="54"/>
      <c r="F28" s="54"/>
      <c r="G28" s="54"/>
      <c r="H28" s="54"/>
      <c r="I28" s="54"/>
      <c r="J28" s="56"/>
      <c r="K28" s="56"/>
      <c r="L28" s="54"/>
      <c r="M28" s="54"/>
      <c r="N28" s="55"/>
      <c r="O28" s="53"/>
      <c r="U28" s="55"/>
      <c r="Z28" s="84"/>
      <c r="AA28" s="56" t="s">
        <v>53</v>
      </c>
      <c r="AB28" s="56"/>
      <c r="AC28" s="84"/>
      <c r="AD28" s="84"/>
      <c r="AE28" s="55"/>
    </row>
    <row r="29" ht="15.75" spans="2:31">
      <c r="B29" s="55"/>
      <c r="C29" s="54"/>
      <c r="D29" s="56"/>
      <c r="E29" s="56"/>
      <c r="F29" s="56"/>
      <c r="G29" s="56"/>
      <c r="H29" s="56"/>
      <c r="I29" s="56"/>
      <c r="J29" s="56"/>
      <c r="K29" s="56"/>
      <c r="L29" s="54"/>
      <c r="M29" s="54"/>
      <c r="N29" s="55"/>
      <c r="O29" s="53"/>
      <c r="U29" s="55"/>
      <c r="Z29" s="84"/>
      <c r="AA29" s="56" t="s">
        <v>54</v>
      </c>
      <c r="AB29" s="56"/>
      <c r="AC29" s="84"/>
      <c r="AD29" s="84"/>
      <c r="AE29" s="55"/>
    </row>
    <row r="30" ht="15.75" spans="2:31">
      <c r="B30" s="55"/>
      <c r="C30" s="5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5"/>
      <c r="O30" s="53"/>
      <c r="U30" s="55"/>
      <c r="Z30" s="84"/>
      <c r="AA30" s="87" t="s">
        <v>55</v>
      </c>
      <c r="AB30" s="88"/>
      <c r="AC30" s="89"/>
      <c r="AD30" s="84"/>
      <c r="AE30" s="55"/>
    </row>
    <row r="31" ht="15.75" spans="21:31">
      <c r="U31" s="55"/>
      <c r="Z31" s="89"/>
      <c r="AA31" s="87" t="s">
        <v>56</v>
      </c>
      <c r="AB31" s="88"/>
      <c r="AC31" s="89"/>
      <c r="AD31" s="89"/>
      <c r="AE31" s="90"/>
    </row>
    <row r="32" ht="15.75" spans="2:31">
      <c r="B32" s="47"/>
      <c r="C32" s="47"/>
      <c r="D32" s="47"/>
      <c r="E32" s="47"/>
      <c r="F32" s="47"/>
      <c r="G32" s="47"/>
      <c r="H32" s="47"/>
      <c r="I32" s="47"/>
      <c r="U32" s="73"/>
      <c r="Z32" s="89"/>
      <c r="AD32" s="89"/>
      <c r="AE32" s="90"/>
    </row>
    <row r="33" ht="15.75" spans="21:31">
      <c r="U33" s="73"/>
      <c r="Z33" s="89"/>
      <c r="AD33" s="89"/>
      <c r="AE33" s="90"/>
    </row>
  </sheetData>
  <sheetProtection insertRows="0"/>
  <mergeCells count="29">
    <mergeCell ref="C6:AE6"/>
    <mergeCell ref="C8:F8"/>
    <mergeCell ref="D9:E9"/>
    <mergeCell ref="D10:E10"/>
    <mergeCell ref="E18:F18"/>
    <mergeCell ref="H20:K20"/>
    <mergeCell ref="R20:U20"/>
    <mergeCell ref="B23:D23"/>
    <mergeCell ref="H23:N23"/>
    <mergeCell ref="R23:X23"/>
    <mergeCell ref="B24:D24"/>
    <mergeCell ref="H24:N24"/>
    <mergeCell ref="R24:X24"/>
    <mergeCell ref="B12:B14"/>
    <mergeCell ref="C12:C14"/>
    <mergeCell ref="D12:D14"/>
    <mergeCell ref="E12:E14"/>
    <mergeCell ref="F12:F14"/>
    <mergeCell ref="G12:G14"/>
    <mergeCell ref="X13:X14"/>
    <mergeCell ref="Y13:Y14"/>
    <mergeCell ref="Z13:Z14"/>
    <mergeCell ref="AA13:AA14"/>
    <mergeCell ref="AB13:AB14"/>
    <mergeCell ref="AC13:AC14"/>
    <mergeCell ref="AD13:AD14"/>
    <mergeCell ref="AE12:AE14"/>
    <mergeCell ref="C2:AE3"/>
    <mergeCell ref="C4:AE5"/>
  </mergeCells>
  <conditionalFormatting sqref="H12:W12">
    <cfRule type="expression" priority="33">
      <formula>TEXT($D$9+COLUMN()-COLUMN($H$12),"ddd")="Sun"</formula>
    </cfRule>
    <cfRule type="expression" dxfId="0" priority="34">
      <formula>TEXT($D$9+COLUMN()-COLUMN($H$12),"ddd")="Sun"</formula>
    </cfRule>
  </conditionalFormatting>
  <conditionalFormatting sqref="H14:W14">
    <cfRule type="containsBlanks" dxfId="1" priority="7">
      <formula>LEN(TRIM(H14))=0</formula>
    </cfRule>
    <cfRule type="expression" dxfId="2" priority="8">
      <formula>EXACT(H14,"S")</formula>
    </cfRule>
    <cfRule type="expression" dxfId="3" priority="9">
      <formula>EXACT(H14,"R")</formula>
    </cfRule>
    <cfRule type="expression" dxfId="4" priority="10">
      <formula>EXACT(H14,"T")</formula>
    </cfRule>
    <cfRule type="containsText" dxfId="5" priority="11" operator="between" text="SH">
      <formula>NOT(ISERROR(SEARCH("SH",H14)))</formula>
    </cfRule>
    <cfRule type="expression" dxfId="6" priority="12">
      <formula>EXACT(H14,"RS")</formula>
    </cfRule>
    <cfRule type="containsText" dxfId="7" priority="13" operator="between" text="LH">
      <formula>NOT(ISERROR(SEARCH("LH",H14)))</formula>
    </cfRule>
    <cfRule type="expression" dxfId="8" priority="14">
      <formula>EXACT(H14,"LR")</formula>
    </cfRule>
    <cfRule type="expression" dxfId="0" priority="15">
      <formula>EXACT(H14,"L")</formula>
    </cfRule>
    <cfRule type="expression" dxfId="9" priority="16">
      <formula>EXACT(H14,"D")</formula>
    </cfRule>
    <cfRule type="expression" dxfId="10" priority="17">
      <formula>EXACT(H14,"A")</formula>
    </cfRule>
  </conditionalFormatting>
  <conditionalFormatting sqref="C15:D15">
    <cfRule type="containsBlanks" dxfId="11" priority="3">
      <formula>LEN(TRIM(C15))=0</formula>
    </cfRule>
  </conditionalFormatting>
  <conditionalFormatting sqref="H15:W15">
    <cfRule type="containsBlanks" dxfId="12" priority="18">
      <formula>LEN(TRIM(H15))=0</formula>
    </cfRule>
  </conditionalFormatting>
  <conditionalFormatting sqref="C16:D16">
    <cfRule type="containsBlanks" dxfId="11" priority="2">
      <formula>LEN(TRIM(C16))=0</formula>
    </cfRule>
  </conditionalFormatting>
  <conditionalFormatting sqref="D17">
    <cfRule type="containsBlanks" dxfId="11" priority="1">
      <formula>LEN(TRIM(D17))=0</formula>
    </cfRule>
  </conditionalFormatting>
  <conditionalFormatting sqref="E15:AE17 C17">
    <cfRule type="containsBlanks" dxfId="12" priority="36">
      <formula>LEN(TRIM(C15))=0</formula>
    </cfRule>
  </conditionalFormatting>
  <conditionalFormatting sqref="H15:W17">
    <cfRule type="containsText" dxfId="13" priority="4" operator="between" text="12">
      <formula>NOT(ISERROR(SEARCH("12",H15)))</formula>
    </cfRule>
    <cfRule type="expression" dxfId="14" priority="5">
      <formula>H$14="LH"</formula>
    </cfRule>
    <cfRule type="expression" dxfId="15" priority="6" stopIfTrue="1">
      <formula>H$14="SH"</formula>
    </cfRule>
    <cfRule type="expression" dxfId="2" priority="21">
      <formula>EXACT(H15,"S")</formula>
    </cfRule>
    <cfRule type="expression" dxfId="3" priority="22">
      <formula>EXACT(H15,"R")</formula>
    </cfRule>
    <cfRule type="expression" dxfId="4" priority="23">
      <formula>EXACT(H15,"T")</formula>
    </cfRule>
    <cfRule type="containsText" dxfId="5" priority="25" operator="between" text="SH">
      <formula>NOT(ISERROR(SEARCH("SH",H15)))</formula>
    </cfRule>
    <cfRule type="expression" dxfId="16" priority="26">
      <formula>EXACT(H15,"RS")</formula>
    </cfRule>
    <cfRule type="containsText" dxfId="7" priority="28" operator="between" text="RH">
      <formula>NOT(ISERROR(SEARCH("RH",H15)))</formula>
    </cfRule>
    <cfRule type="expression" dxfId="8" priority="29">
      <formula>EXACT(H15,"LR")</formula>
    </cfRule>
    <cfRule type="expression" dxfId="0" priority="30">
      <formula>EXACT(H15,"L")</formula>
    </cfRule>
    <cfRule type="expression" dxfId="9" priority="31">
      <formula>EXACT(H15,"D")</formula>
    </cfRule>
    <cfRule type="expression" dxfId="10" priority="32">
      <formula>EXACT(H15,"A")</formula>
    </cfRule>
  </conditionalFormatting>
  <dataValidations count="2">
    <dataValidation type="list" allowBlank="1" showInputMessage="1" showErrorMessage="1" sqref="H14:W14">
      <formula1>"SH, LH"</formula1>
    </dataValidation>
    <dataValidation type="list" allowBlank="1" showInputMessage="1" showErrorMessage="1" sqref="H15:W17">
      <formula1>Sheet3!$A$2:$A$54</formula1>
    </dataValidation>
  </dataValidations>
  <pageMargins left="0" right="0" top="0" bottom="0.196850393700787" header="0" footer="0"/>
  <pageSetup paperSize="9" scale="49" fitToHeight="0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3"/>
  <sheetViews>
    <sheetView workbookViewId="0">
      <selection activeCell="G19" sqref="G19"/>
    </sheetView>
  </sheetViews>
  <sheetFormatPr defaultColWidth="9" defaultRowHeight="14.25"/>
  <cols>
    <col min="1" max="1" width="6.56666666666667" style="1" customWidth="1"/>
  </cols>
  <sheetData>
    <row r="2" spans="1:1">
      <c r="A2" s="1" t="s">
        <v>57</v>
      </c>
    </row>
    <row r="3" spans="1:1">
      <c r="A3" s="1" t="s">
        <v>58</v>
      </c>
    </row>
    <row r="4" spans="1:1">
      <c r="A4" s="1" t="s">
        <v>59</v>
      </c>
    </row>
    <row r="5" spans="1:1">
      <c r="A5" s="1" t="s">
        <v>60</v>
      </c>
    </row>
    <row r="6" spans="1:1">
      <c r="A6" s="1" t="s">
        <v>61</v>
      </c>
    </row>
    <row r="7" spans="1:1">
      <c r="A7" s="1" t="s">
        <v>62</v>
      </c>
    </row>
    <row r="8" spans="1:1">
      <c r="A8" s="1" t="s">
        <v>63</v>
      </c>
    </row>
    <row r="9" spans="1:1">
      <c r="A9" s="1" t="s">
        <v>64</v>
      </c>
    </row>
    <row r="10" spans="1:1">
      <c r="A10" s="1" t="s">
        <v>61</v>
      </c>
    </row>
    <row r="11" spans="1:1">
      <c r="A11" s="1">
        <v>8</v>
      </c>
    </row>
    <row r="12" spans="1:1">
      <c r="A12" s="1">
        <v>8.5</v>
      </c>
    </row>
    <row r="13" spans="1:1">
      <c r="A13" s="1">
        <v>9</v>
      </c>
    </row>
    <row r="14" spans="1:1">
      <c r="A14" s="1">
        <v>9.5</v>
      </c>
    </row>
    <row r="15" spans="1:1">
      <c r="A15" s="1">
        <v>10</v>
      </c>
    </row>
    <row r="16" spans="1:1">
      <c r="A16" s="1">
        <v>10.5</v>
      </c>
    </row>
    <row r="17" spans="1:1">
      <c r="A17" s="1">
        <v>11</v>
      </c>
    </row>
    <row r="18" spans="1:1">
      <c r="A18" s="1">
        <v>11.5</v>
      </c>
    </row>
    <row r="19" spans="1:1">
      <c r="A19" s="1">
        <v>12</v>
      </c>
    </row>
    <row r="20" spans="1:1">
      <c r="A20" s="1">
        <v>12.5</v>
      </c>
    </row>
    <row r="21" spans="1:1">
      <c r="A21" s="1">
        <v>13</v>
      </c>
    </row>
    <row r="22" spans="1:1">
      <c r="A22" s="1">
        <v>13.5</v>
      </c>
    </row>
    <row r="23" spans="1:1">
      <c r="A23" s="1">
        <v>14</v>
      </c>
    </row>
    <row r="24" spans="1:1">
      <c r="A24" s="1">
        <v>14.5</v>
      </c>
    </row>
    <row r="25" spans="1:1">
      <c r="A25" s="1">
        <v>15</v>
      </c>
    </row>
    <row r="26" spans="1:1">
      <c r="A26" s="1">
        <v>15.5</v>
      </c>
    </row>
    <row r="27" spans="1:1">
      <c r="A27" s="1">
        <v>16</v>
      </c>
    </row>
    <row r="28" spans="1:1">
      <c r="A28" s="1">
        <v>16.5</v>
      </c>
    </row>
    <row r="29" spans="1:1">
      <c r="A29" s="1">
        <v>17</v>
      </c>
    </row>
    <row r="30" spans="1:1">
      <c r="A30" s="1">
        <v>17.5</v>
      </c>
    </row>
    <row r="31" spans="1:1">
      <c r="A31" s="1">
        <v>18</v>
      </c>
    </row>
    <row r="32" spans="1:1">
      <c r="A32" s="1">
        <v>18.5</v>
      </c>
    </row>
    <row r="33" spans="1:1">
      <c r="A33" s="1">
        <v>19</v>
      </c>
    </row>
    <row r="34" spans="1:1">
      <c r="A34" s="1">
        <v>19.5</v>
      </c>
    </row>
    <row r="35" spans="1:1">
      <c r="A35" s="1">
        <v>20</v>
      </c>
    </row>
    <row r="36" spans="1:1">
      <c r="A36" s="1">
        <v>20.5</v>
      </c>
    </row>
    <row r="37" spans="1:1">
      <c r="A37" s="1">
        <v>21</v>
      </c>
    </row>
    <row r="38" spans="1:1">
      <c r="A38" s="1">
        <v>21.5</v>
      </c>
    </row>
    <row r="39" spans="1:1">
      <c r="A39" s="1">
        <v>22</v>
      </c>
    </row>
    <row r="40" spans="1:1">
      <c r="A40" s="1">
        <v>22.5</v>
      </c>
    </row>
    <row r="41" spans="1:1">
      <c r="A41" s="1">
        <v>23</v>
      </c>
    </row>
    <row r="42" spans="1:1">
      <c r="A42" s="1">
        <v>23.5</v>
      </c>
    </row>
    <row r="43" spans="1:1">
      <c r="A43" s="1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 FORM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google1589028574</cp:lastModifiedBy>
  <dcterms:created xsi:type="dcterms:W3CDTF">2025-09-25T07:44:00Z</dcterms:created>
  <cp:lastPrinted>2025-10-01T07:40:00Z</cp:lastPrinted>
  <dcterms:modified xsi:type="dcterms:W3CDTF">2025-10-02T04:14:40Z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D3D039D5B04B4F298838369BC390B703_13</vt:lpwstr>
  </property>
  <property fmtid="{D5CDD505-2E9C-101B-9397-08002B2CF9AE}" pid="3" name="KSOProductBuildVer">
    <vt:lpwstr>1033-12.2.0.22549</vt:lpwstr>
  </property>
</Properties>
</file>